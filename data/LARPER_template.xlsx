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oycelyn/Downloads/"/>
    </mc:Choice>
  </mc:AlternateContent>
  <xr:revisionPtr revIDLastSave="0" documentId="8_{E7CD0909-6755-754B-9515-DC6455CB763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ocial Metrics" sheetId="1" r:id="rId1"/>
    <sheet name="Gu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1" l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<sst xmlns="http://schemas.openxmlformats.org/spreadsheetml/2006/main" count="484" uniqueCount="270">
  <si>
    <t>date</t>
  </si>
  <si>
    <t>platform</t>
  </si>
  <si>
    <t>trend_name</t>
  </si>
  <si>
    <t>category</t>
  </si>
  <si>
    <t>content_title</t>
  </si>
  <si>
    <t>content_url</t>
  </si>
  <si>
    <t>thumbnail_url</t>
  </si>
  <si>
    <t>views</t>
  </si>
  <si>
    <t>likes</t>
  </si>
  <si>
    <t>comments</t>
  </si>
  <si>
    <t>shares</t>
  </si>
  <si>
    <t>engagement_rate</t>
  </si>
  <si>
    <t>like_rate</t>
  </si>
  <si>
    <t>comment_rate</t>
  </si>
  <si>
    <t>share_rate</t>
  </si>
  <si>
    <t>notes</t>
  </si>
  <si>
    <t>Ayam Gepuk</t>
  </si>
  <si>
    <t>Food</t>
  </si>
  <si>
    <t>Reference 1</t>
  </si>
  <si>
    <t>https://www.tiktok.com/@khairulaming/video/7213959942104026395?q=ayam%20gepuk&amp;t=1791628653659</t>
  </si>
  <si>
    <t>1.5M</t>
  </si>
  <si>
    <t>1M</t>
  </si>
  <si>
    <t>13.4k</t>
  </si>
  <si>
    <t>407.8k</t>
  </si>
  <si>
    <t>Reference 2</t>
  </si>
  <si>
    <t>https://www.tiktok.com/@capikkkkkk/video/7673470048287116565?q=ayam%20gepuk&amp;t=1791628653659</t>
  </si>
  <si>
    <t>200.2k</t>
  </si>
  <si>
    <t>111.4k</t>
  </si>
  <si>
    <t>14k</t>
  </si>
  <si>
    <t>Reference 3</t>
  </si>
  <si>
    <t>https://www.tiktok.com/@agartisansignature/video/7688563968570330375?q=ayam%20gepuk&amp;t=1791628653659</t>
  </si>
  <si>
    <t>30k</t>
  </si>
  <si>
    <t>26.2k</t>
  </si>
  <si>
    <t>Nasi Lemak</t>
  </si>
  <si>
    <t>https://www.tiktok.com/@khairulaming/video/7477428153808325906?q=nasi%20lemak&amp;t=1791628760905</t>
  </si>
  <si>
    <t>700.5k</t>
  </si>
  <si>
    <t>632.4k</t>
  </si>
  <si>
    <t>11.2k</t>
  </si>
  <si>
    <t>206k</t>
  </si>
  <si>
    <t>https://www.tiktok.com/@foodie_msia/video/7694499434910076181?q=nasi%20lemak&amp;t=1791628760905</t>
  </si>
  <si>
    <t>23.2k</t>
  </si>
  <si>
    <t>11.9k</t>
  </si>
  <si>
    <t>https://www.tiktok.com/@rossarosha/video/7603803206132534536?q=nasi%20lemak&amp;t=1791628760905</t>
  </si>
  <si>
    <t>150k</t>
  </si>
  <si>
    <t>110k</t>
  </si>
  <si>
    <t>Tanghulu</t>
  </si>
  <si>
    <t>https://www.tiktok.com/@abigailfmarquez/video/7326892850531028230?q=tanghulu&amp;t=1791628216978</t>
  </si>
  <si>
    <t>5.2M</t>
  </si>
  <si>
    <t>3.8M</t>
  </si>
  <si>
    <t>40K</t>
  </si>
  <si>
    <t>673.2K</t>
  </si>
  <si>
    <t>https://www.tiktok.com/@chesayang_kitchen/video/7284776348235664658?q=tanghulu&amp;t=1791628216978</t>
  </si>
  <si>
    <t>300.3K</t>
  </si>
  <si>
    <t>175.6K</t>
  </si>
  <si>
    <t>https://www.tiktok.com/@nickskitchen/video/7683661493648362782?q=tanghulu&amp;t=1791628216978</t>
  </si>
  <si>
    <t>241.2K</t>
  </si>
  <si>
    <t>115.3K</t>
  </si>
  <si>
    <t>Dubai Chocolate</t>
  </si>
  <si>
    <t xml:space="preserve">https://www.tiktok.com/@mariavehera257/video/7313986849104481538?q=dubai%20chocolate&amp;t=1791627479325
</t>
  </si>
  <si>
    <t>10.3M</t>
  </si>
  <si>
    <t>8.1M</t>
  </si>
  <si>
    <t>71.3K</t>
  </si>
  <si>
    <t>524.K</t>
  </si>
  <si>
    <t>https://www.tiktok.com/@vale.and.sky/video/7538151802315820319?q=dubai%20chocolate&amp;t=1791627479325</t>
  </si>
  <si>
    <t>250.2K</t>
  </si>
  <si>
    <t>156.6K</t>
  </si>
  <si>
    <t>https://www.tiktok.com/@capikkkkkk/video/7663028978030087444?q=dubai%20chocolate&amp;t=1791627479325</t>
  </si>
  <si>
    <t>508.8K</t>
  </si>
  <si>
    <t>314.2K</t>
  </si>
  <si>
    <t>Daifuku</t>
  </si>
  <si>
    <t>https://www.tiktok.com/@baby_mochi_3/video/7610361942582021394?q=Daifuku%20mochi&amp;t=1791628337627</t>
  </si>
  <si>
    <t>https://www.tiktok.com/@afifahmashadi/video/7694463988087688469?q=Daifuku%20mochi&amp;t=1791628337627</t>
  </si>
  <si>
    <t>https://www.tiktok.com/@bestfoodmy/video/7377064762133204242?q=Daifuku%20mochi&amp;t=1791628337627</t>
  </si>
  <si>
    <t>371.2k</t>
  </si>
  <si>
    <t>109.3k</t>
  </si>
  <si>
    <t>17k</t>
  </si>
  <si>
    <t>Shiopan</t>
  </si>
  <si>
    <t>https://www.tiktok.com/@erin.lim/video/7573754054728371511?q=shiopan&amp;t=1791628519964</t>
  </si>
  <si>
    <t>2.1M</t>
  </si>
  <si>
    <t>88.4k</t>
  </si>
  <si>
    <t>397.4k</t>
  </si>
  <si>
    <t>https://www.tiktok.com/@natashatannnnn/video/7614395909748641042?q=shiopan&amp;t=1791628519964</t>
  </si>
  <si>
    <t>70.2k</t>
  </si>
  <si>
    <t>46.1k</t>
  </si>
  <si>
    <t>https://www.tiktok.com/@mang0.mochi/video/7572244733628648735?q=shiopan&amp;t=1791628519964</t>
  </si>
  <si>
    <t>2.2M</t>
  </si>
  <si>
    <t>1.6M</t>
  </si>
  <si>
    <t>255.6k</t>
  </si>
  <si>
    <t>Dota</t>
  </si>
  <si>
    <t>Entertainment</t>
  </si>
  <si>
    <t>https://www.tiktok.com/@dotacinematiktok/video/7694052235348561174?is_from_webapp=1&amp;sender_device=pc&amp;web_id=7694983513922651666</t>
  </si>
  <si>
    <t>200k</t>
  </si>
  <si>
    <t>148.4k</t>
  </si>
  <si>
    <t>https://www.tiktok.com/@ggwpanic/video/7691729469500902688?is_from_webapp=1&amp;sender_device=pc&amp;web_id=7694983513922651666</t>
  </si>
  <si>
    <t>78k</t>
  </si>
  <si>
    <t>38.4k</t>
  </si>
  <si>
    <t>https://www.tiktok.com/@dotacinematiktok/video/7693923416402890006?is_from_webapp=1&amp;sender_device=pc&amp;web_id=7694983513922651666</t>
  </si>
  <si>
    <t>11k</t>
  </si>
  <si>
    <t>Mobile Legends</t>
  </si>
  <si>
    <t>https://www.tiktok.com/@laylaton24/video/7692620082660265224?is_from_webapp=1&amp;sender_device=pc&amp;web_id=7694983513922651666</t>
  </si>
  <si>
    <t>55k</t>
  </si>
  <si>
    <t>21.5k</t>
  </si>
  <si>
    <t>https://www.tiktok.com/@aldoxdyrroth/video/7688666252579015944?is_from_webapp=1&amp;sender_device=pc&amp;web_id=7694983513922651666</t>
  </si>
  <si>
    <t>37k</t>
  </si>
  <si>
    <t>https://www.tiktok.com/@laylaton24/video/7665927618067320072?is_from_webapp=1&amp;sender_device=pc&amp;web_id=7694983513922651666</t>
  </si>
  <si>
    <t>301k</t>
  </si>
  <si>
    <t>138.8k</t>
  </si>
  <si>
    <t>41.8k</t>
  </si>
  <si>
    <t>PUBG Mobile</t>
  </si>
  <si>
    <t>https://www.tiktok.com/@muazexee/video/7691344136783318290?is_from_webapp=1&amp;sender_device=pc&amp;web_id=7694983513922651666</t>
  </si>
  <si>
    <t>88k</t>
  </si>
  <si>
    <t>53.8k</t>
  </si>
  <si>
    <t>18.7k</t>
  </si>
  <si>
    <t>https://www.tiktok.com/@fogflash1/video/7683633687111486740?is_from_webapp=1&amp;sender_device=pc&amp;web_id=7694983513922651666</t>
  </si>
  <si>
    <t>456k</t>
  </si>
  <si>
    <t>128.7k</t>
  </si>
  <si>
    <t>https://www.tiktok.com/@rofelgaming/video/7694536443867188494?is_from_webapp=1&amp;sender_device=pc&amp;web_id=7694983513922651666</t>
  </si>
  <si>
    <t>10k</t>
  </si>
  <si>
    <t>Ghost Story</t>
  </si>
  <si>
    <t>https://www.tiktok.com/@scarynight44/video/7584256357969218834?is_from_webapp=1&amp;sender_device=pc&amp;web_id=7694983513922651666</t>
  </si>
  <si>
    <t>21k</t>
  </si>
  <si>
    <t>14.3k</t>
  </si>
  <si>
    <t>https://www.tiktok.com/@torrlface2/video/7578452250574540054?is_from_webapp=1&amp;sender_device=pc&amp;web_id=7694983513922651666</t>
  </si>
  <si>
    <t>35k</t>
  </si>
  <si>
    <t>20.2k</t>
  </si>
  <si>
    <t>https://www.tiktok.com/@thisis_splooky/video/7681737795081112839?is_from_webapp=1&amp;sender_device=pc&amp;web_id=7694983513922651666</t>
  </si>
  <si>
    <t>Universe</t>
  </si>
  <si>
    <t>https://www.tiktok.com/@shegleamuk/video/7616538929398959390?is_from_webapp=1&amp;sender_device=pc&amp;web_id=7694983513922651666</t>
  </si>
  <si>
    <t>425k</t>
  </si>
  <si>
    <t>398.9k</t>
  </si>
  <si>
    <t>50.5k</t>
  </si>
  <si>
    <t>https://www.tiktok.com/@professor.of.univ6/video/7645694434524286221?is_from_webapp=1&amp;sender_device=pc&amp;web_id=7694983513922651666</t>
  </si>
  <si>
    <t>https://www.tiktok.com/@harboorr/video/7675517545721384195?is_from_webapp=1&amp;sender_device=pc&amp;web_id=7694983513922651666</t>
  </si>
  <si>
    <t>234k</t>
  </si>
  <si>
    <t>142.2k</t>
  </si>
  <si>
    <t>23.5k</t>
  </si>
  <si>
    <t>Investment</t>
  </si>
  <si>
    <t>https://www.tiktok.com/@wealthbyjo/video/7694621394927340820?is_from_webapp=1&amp;sender_device=pc&amp;web_id=7694983513922651666</t>
  </si>
  <si>
    <t>https://www.tiktok.com/@anasprimeestates/video/7672736197071949076?is_from_webapp=1&amp;sender_device=pc&amp;web_id=7694983513922651666</t>
  </si>
  <si>
    <t>22.2k</t>
  </si>
  <si>
    <t>https://www.tiktok.com/@madwithmoney/video/7634179317039320340?is_from_webapp=1&amp;sender_device=pc&amp;web_id=7694983513922651666</t>
  </si>
  <si>
    <t>Instagram</t>
  </si>
  <si>
    <t>https://www.tiktok.com/@yashin4keeps/video/7508812852216614166?is_from_webapp=1&amp;sender_device=pc&amp;web_id=7694983513922651666</t>
  </si>
  <si>
    <t>https://www.tiktok.com/@banan85213/video/7672835151692385569?is_from_webapp=1&amp;sender_device=pc&amp;web_id=7694983513922651666</t>
  </si>
  <si>
    <t>219k</t>
  </si>
  <si>
    <t>120.9k</t>
  </si>
  <si>
    <t>https://www.tiktok.com/@giian_4/video/7528311943216614663?is_from_webapp=1&amp;sender_device=pc&amp;web_id=7694983513922651666</t>
  </si>
  <si>
    <t>44k</t>
  </si>
  <si>
    <t>Xiaohongshu</t>
  </si>
  <si>
    <t>https://www.tiktok.com/@xiaohongshu_art_tutorial/video/7658907380155026710?is_from_webapp=1&amp;sender_device=pc&amp;web_id=7694983513922651666</t>
  </si>
  <si>
    <t>77.8k</t>
  </si>
  <si>
    <t>46.5k</t>
  </si>
  <si>
    <t>https://www.tiktok.com/@ye_.jiang/video/7436603445529857287?is_from_webapp=1&amp;sender_device=pc&amp;web_id=7694983513922651666</t>
  </si>
  <si>
    <t>432k</t>
  </si>
  <si>
    <t>303.2k</t>
  </si>
  <si>
    <t>https://www.tiktok.com/@lrvn20/video/7684837451210231047?is_from_webapp=1&amp;sender_device=pc&amp;web_id=7694983513922651666</t>
  </si>
  <si>
    <t>20k</t>
  </si>
  <si>
    <t>19.8k</t>
  </si>
  <si>
    <t>TikTok</t>
  </si>
  <si>
    <t>https://www.tiktok.com/@vidaselvagem55/video/7692825791087889685?is_from_webapp=1&amp;sender_device=pc&amp;web_id=7694983513922651666</t>
  </si>
  <si>
    <t>https://www.tiktok.com/@yudistardhana13/video/7155364182999698715?is_from_webapp=1&amp;sender_device=pc&amp;web_id=7694983513922651666</t>
  </si>
  <si>
    <t>15k</t>
  </si>
  <si>
    <t>10.4k</t>
  </si>
  <si>
    <t>https://www.tiktok.com/@davidnaveda8/video/7641377464958094606?is_from_webapp=1&amp;sender_device=pc&amp;web_id=7694983513922651666</t>
  </si>
  <si>
    <t>Study</t>
  </si>
  <si>
    <t>Growth</t>
  </si>
  <si>
    <t>Quotes</t>
  </si>
  <si>
    <t>Finance</t>
  </si>
  <si>
    <t>Squishy</t>
  </si>
  <si>
    <t>Handcraft</t>
  </si>
  <si>
    <t>https://www.tiktok.com/@meowsquishymeow/video/7694220905756495135?q=squishy&amp;t=1791630715257</t>
  </si>
  <si>
    <t>178.2k</t>
  </si>
  <si>
    <t>17.8k</t>
  </si>
  <si>
    <t>https://www.tiktok.com/@anniesbucketlist/video/7694798735657766164?q=squishy&amp;t=1791630715257</t>
  </si>
  <si>
    <t>Slime</t>
  </si>
  <si>
    <t>https://www.tiktok.com/@arianalee99/video/7663970145970212127?q=slime&amp;t=1791630882311</t>
  </si>
  <si>
    <t>103.5k</t>
  </si>
  <si>
    <t>10.3k</t>
  </si>
  <si>
    <t>https://www.tiktok.com/@asmr.videos4430/video/7635667820084333844?q=slime&amp;t=1791630882311</t>
  </si>
  <si>
    <t>102.1k</t>
  </si>
  <si>
    <t>75.2k</t>
  </si>
  <si>
    <t>36.1k</t>
  </si>
  <si>
    <t>https://www.tiktok.com/@rinomanwiler/video/7666401841130786078?q=slime&amp;t=1791630882311</t>
  </si>
  <si>
    <t>59.1k</t>
  </si>
  <si>
    <t>45.3k</t>
  </si>
  <si>
    <t>Fuse Beads</t>
  </si>
  <si>
    <t>https://www.tiktok.com/@penayuzan/video/7652975880842579220?q=fuse%20beads&amp;t=1791631022880</t>
  </si>
  <si>
    <t>https://www.tiktok.com/@dokila_crafty/video/7611030562689600798?q=fuse%20beads&amp;t=1791631022880</t>
  </si>
  <si>
    <t>82.2k</t>
  </si>
  <si>
    <t>76.3k</t>
  </si>
  <si>
    <t>10.8k</t>
  </si>
  <si>
    <t>https://www.tiktok.com/@calmpixel11/video/7669055360359042317?q=fuse%20beads&amp;t=1791631022880</t>
  </si>
  <si>
    <t>Travel</t>
  </si>
  <si>
    <t>Lifestyle</t>
  </si>
  <si>
    <t>https://www.tiktok.com/@mountainbrynn/video/7658445776103804173?q=travel&amp;t=1791631156758</t>
  </si>
  <si>
    <t>2.1m</t>
  </si>
  <si>
    <t>1.5m</t>
  </si>
  <si>
    <t>11.6k</t>
  </si>
  <si>
    <t>210.6k</t>
  </si>
  <si>
    <t>https://www.tiktok.com/@aripsajer/video/7632885806172015892?q=travel&amp;t=1791631156758</t>
  </si>
  <si>
    <t>71.2k</t>
  </si>
  <si>
    <t>65.6k</t>
  </si>
  <si>
    <t>https://www.tiktok.com/@foodwithliz/video/7644257366317223182?q=travel&amp;t=1791631156758</t>
  </si>
  <si>
    <t>302.9k</t>
  </si>
  <si>
    <t>278.2k</t>
  </si>
  <si>
    <t>51k</t>
  </si>
  <si>
    <t>Diary</t>
  </si>
  <si>
    <t>https://www.tiktok.com/@yhuco_/video/7664170518412578055?q=Daily%20vlog&amp;t=1791631311511</t>
  </si>
  <si>
    <t>29.2k</t>
  </si>
  <si>
    <t>21.4k</t>
  </si>
  <si>
    <t>https://www.tiktok.com/@miamiffylover/video/7678897158715657492?q=Daily%20vlog&amp;t=1791631311511</t>
  </si>
  <si>
    <t>250.2k</t>
  </si>
  <si>
    <t>205.9k</t>
  </si>
  <si>
    <t>25.4k</t>
  </si>
  <si>
    <t>https://www.tiktok.com/@cutnazillaa/video/7642553754784468231?q=Daily%20vlog&amp;t=1791631311511</t>
  </si>
  <si>
    <t>60.2k</t>
  </si>
  <si>
    <t>44.4k</t>
  </si>
  <si>
    <t>Fashion</t>
  </si>
  <si>
    <t>https://www.tiktok.com/@lluna_me/photo/7690553411019787538?q=Fashion%20Outfits&amp;t=1791631421059</t>
  </si>
  <si>
    <t>40.2k</t>
  </si>
  <si>
    <t>32.3k</t>
  </si>
  <si>
    <t>11.3k</t>
  </si>
  <si>
    <t>https://www.tiktok.com/@mhjkslx/video/7518464049546333448?q=Fashion%20Outfits&amp;t=1791631421059</t>
  </si>
  <si>
    <t>https://www.tiktok.com/@selfloveninie/photo/7689623036651277589?q=Fashion%20Outfits&amp;t=1791631421059</t>
  </si>
  <si>
    <t>18k</t>
  </si>
  <si>
    <t>15.3k</t>
  </si>
  <si>
    <t>LARPER Social Metrics Template</t>
  </si>
  <si>
    <t>Purpose</t>
  </si>
  <si>
    <t>Collect 3 public social-media references for each trend.</t>
  </si>
  <si>
    <t>Important</t>
  </si>
  <si>
    <t>Do not invent metrics. If shares are unavailable, leave shares blank or 0 and note it.</t>
  </si>
  <si>
    <t>Post/video publish date.</t>
  </si>
  <si>
    <t>TikTok, Instagram, or YouTube.</t>
  </si>
  <si>
    <t>Pre-filled trend used by LARPER.</t>
  </si>
  <si>
    <t>Pre-filled category.</t>
  </si>
  <si>
    <t>Short title or description of the post/video.</t>
  </si>
  <si>
    <t>Real public link to the post/video.</t>
  </si>
  <si>
    <t>Public thumbnail/image URL if available.</t>
  </si>
  <si>
    <t>Visible public view count.</t>
  </si>
  <si>
    <t>Visible public like count.</t>
  </si>
  <si>
    <t>Visible public comment count.</t>
  </si>
  <si>
    <t>Visible share count; leave blank/0 if unavailable.</t>
  </si>
  <si>
    <t>Auto-calculated: (likes + comments + shares) / views.</t>
  </si>
  <si>
    <t>Auto-calculated: likes / views.</t>
  </si>
  <si>
    <t>Auto-calculated: comments / views.</t>
  </si>
  <si>
    <t>Auto-calculated: shares / views.</t>
  </si>
  <si>
    <t>Anything important, e.g. metric unavailable or thumbnail saved locally.</t>
  </si>
  <si>
    <t>https://www.tiktok.com/@rszfedits/video/7624857244638694678?q=finance&amp;t=1791631614931</t>
  </si>
  <si>
    <t>141.9k</t>
  </si>
  <si>
    <t>https://www.tiktok.com/@jordfinance/video/7675373222300306706?q=finance&amp;t=1791631614931</t>
  </si>
  <si>
    <t>115k</t>
  </si>
  <si>
    <t>103.6k</t>
  </si>
  <si>
    <t>https://www.tiktok.com/@thewisesaid2/video/7616774805429275926?q=finance&amp;t=1791631614931</t>
  </si>
  <si>
    <t>https://www.tiktok.com/@mindecho65/video/7642993701198859542?q=quotes&amp;t=1791631751143</t>
  </si>
  <si>
    <t>40.3k</t>
  </si>
  <si>
    <t>35.5k</t>
  </si>
  <si>
    <t>https://www.tiktok.com/@99shoppin/video/7680834425822678292?q=quotes&amp;t=1791631751143</t>
  </si>
  <si>
    <t>https://www.tiktok.com/@lyricsqoutes01/video/7319397742260866337?q=quotes&amp;t=1791631751143</t>
  </si>
  <si>
    <t>327.2k</t>
  </si>
  <si>
    <t>249.7k</t>
  </si>
  <si>
    <t>50.9k</t>
  </si>
  <si>
    <t>https://www.tiktok.com/@.unknown6322/photo/7597552842123037974?is_from_webapp=1&amp;sender_device=pc&amp;web_id=7694983513922651666</t>
  </si>
  <si>
    <t>167.1k</t>
  </si>
  <si>
    <t>36.3k</t>
  </si>
  <si>
    <t>198k</t>
  </si>
  <si>
    <t>607.8k</t>
  </si>
  <si>
    <t>https://www.tiktok.com/@stdw.tam/video/7677222258594663698?is_from_webapp=1&amp;sender_device=pc&amp;web_id=7694983513922651666</t>
  </si>
  <si>
    <t>789k</t>
  </si>
  <si>
    <t>https://www.tiktok.com/@luzstudy.17/video/7652857706193210646?is_from_webapp=1&amp;sender_device=pc&amp;web_id=7694983513922651666</t>
  </si>
  <si>
    <t>63.8k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</si>
</sst>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92631"/>
      </patternFill>
    </fill>
    <fill>
      <patternFill patternType="solid">
        <fgColor rgb="FF8D6D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ialMetricsTable" displayName="SocialMetricsTable" ref="A1:P73" totalsRowShown="0">
  <tableColumns count="16">
    <tableColumn id="1" xr3:uid="{00000000-0010-0000-0000-000001000000}" name="date"/>
    <tableColumn id="2" xr3:uid="{00000000-0010-0000-0000-000002000000}" name="platform"/>
    <tableColumn id="3" xr3:uid="{00000000-0010-0000-0000-000003000000}" name="trend_name"/>
    <tableColumn id="4" xr3:uid="{00000000-0010-0000-0000-000004000000}" name="category"/>
    <tableColumn id="5" xr3:uid="{00000000-0010-0000-0000-000005000000}" name="content_title"/>
    <tableColumn id="6" xr3:uid="{00000000-0010-0000-0000-000006000000}" name="content_url"/>
    <tableColumn id="7" xr3:uid="{00000000-0010-0000-0000-000007000000}" name="thumbnail_url"/>
    <tableColumn id="8" xr3:uid="{00000000-0010-0000-0000-000008000000}" name="views"/>
    <tableColumn id="9" xr3:uid="{00000000-0010-0000-0000-000009000000}" name="likes"/>
    <tableColumn id="10" xr3:uid="{00000000-0010-0000-0000-00000A000000}" name="comments"/>
    <tableColumn id="11" xr3:uid="{00000000-0010-0000-0000-00000B000000}" name="shares"/>
    <tableColumn id="12" xr3:uid="{00000000-0010-0000-0000-00000C000000}" name="engagement_rate"/>
    <tableColumn id="13" xr3:uid="{00000000-0010-0000-0000-00000D000000}" name="like_rate"/>
    <tableColumn id="14" xr3:uid="{00000000-0010-0000-0000-00000E000000}" name="comment_rate"/>
    <tableColumn id="15" xr3:uid="{00000000-0010-0000-0000-00000F000000}" name="share_rate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shegleamuk/video/7616538929398959390?is_from_webapp=1&amp;sender_device=pc&amp;web_id=7694983513922651666" TargetMode="External"/><Relationship Id="rId21" Type="http://schemas.openxmlformats.org/officeDocument/2006/relationships/hyperlink" Target="https://www.tiktok.com/@torrlface2/video/7578452250574540054?is_from_webapp=1&amp;sender_device=pc&amp;web_id=7694983513922651666" TargetMode="External"/><Relationship Id="rId42" Type="http://schemas.openxmlformats.org/officeDocument/2006/relationships/hyperlink" Target="https://www.tiktok.com/@yashin4keeps/video/7508812852216614166?is_from_webapp=1&amp;sender_device=pc&amp;web_id=7694983513922651666" TargetMode="External"/><Relationship Id="rId47" Type="http://schemas.openxmlformats.org/officeDocument/2006/relationships/hyperlink" Target="https://www.tiktok.com/@mountainbrynn/video/7658445776103804173?q=travel&amp;t=1791631156758" TargetMode="External"/><Relationship Id="rId63" Type="http://schemas.openxmlformats.org/officeDocument/2006/relationships/hyperlink" Target="https://www.tiktok.com/@rszfedits/video/7624857244638694678?q=finance&amp;t=1791631614931" TargetMode="External"/><Relationship Id="rId68" Type="http://schemas.openxmlformats.org/officeDocument/2006/relationships/hyperlink" Target="https://www.tiktok.com/@lyricsqoutes01/video/7319397742260866337?q=quotes&amp;t=1791631751143" TargetMode="External"/><Relationship Id="rId7" Type="http://schemas.openxmlformats.org/officeDocument/2006/relationships/hyperlink" Target="https://www.tiktok.com/@laylaton24/video/7692620082660265224?is_from_webapp=1&amp;sender_device=pc&amp;web_id=7694983513922651666" TargetMode="External"/><Relationship Id="rId71" Type="http://schemas.openxmlformats.org/officeDocument/2006/relationships/hyperlink" Target="https://www.tiktok.com/@luzstudy.17/video/7652857706193210646?is_from_webapp=1&amp;sender_device=pc&amp;web_id=7694983513922651666" TargetMode="External"/><Relationship Id="rId2" Type="http://schemas.openxmlformats.org/officeDocument/2006/relationships/hyperlink" Target="https://www.tiktok.com/@vale.and.sky/video/7538151802315820319?q=dubai%20chocolate&amp;t=1791627479325" TargetMode="External"/><Relationship Id="rId16" Type="http://schemas.openxmlformats.org/officeDocument/2006/relationships/hyperlink" Target="https://www.tiktok.com/@bestfoodmy/video/7377064762133204242?q=Daifuku%20mochi&amp;t=1791628337627" TargetMode="External"/><Relationship Id="rId29" Type="http://schemas.openxmlformats.org/officeDocument/2006/relationships/hyperlink" Target="https://www.tiktok.com/@khairulaming/video/7477428153808325906?q=nasi%20lemak&amp;t=1791628760905" TargetMode="External"/><Relationship Id="rId11" Type="http://schemas.openxmlformats.org/officeDocument/2006/relationships/hyperlink" Target="https://www.tiktok.com/@laylaton24/video/7665927618067320072?is_from_webapp=1&amp;sender_device=pc&amp;web_id=7694983513922651666" TargetMode="External"/><Relationship Id="rId24" Type="http://schemas.openxmlformats.org/officeDocument/2006/relationships/hyperlink" Target="https://www.tiktok.com/@thisis_splooky/video/7681737795081112839?is_from_webapp=1&amp;sender_device=pc&amp;web_id=7694983513922651666" TargetMode="External"/><Relationship Id="rId32" Type="http://schemas.openxmlformats.org/officeDocument/2006/relationships/hyperlink" Target="https://www.tiktok.com/@harboorr/video/7675517545721384195?is_from_webapp=1&amp;sender_device=pc&amp;web_id=7694983513922651666" TargetMode="External"/><Relationship Id="rId37" Type="http://schemas.openxmlformats.org/officeDocument/2006/relationships/hyperlink" Target="https://www.tiktok.com/@anasprimeestates/video/7672736197071949076?is_from_webapp=1&amp;sender_device=pc&amp;web_id=7694983513922651666" TargetMode="External"/><Relationship Id="rId40" Type="http://schemas.openxmlformats.org/officeDocument/2006/relationships/hyperlink" Target="https://www.tiktok.com/@madwithmoney/video/7634179317039320340?is_from_webapp=1&amp;sender_device=pc&amp;web_id=7694983513922651666" TargetMode="External"/><Relationship Id="rId45" Type="http://schemas.openxmlformats.org/officeDocument/2006/relationships/hyperlink" Target="https://www.tiktok.com/@dokila_crafty/video/7611030562689600798?q=fuse%20beads&amp;t=1791631022880" TargetMode="External"/><Relationship Id="rId53" Type="http://schemas.openxmlformats.org/officeDocument/2006/relationships/hyperlink" Target="https://www.tiktok.com/@lrvn20/video/7684837451210231047?is_from_webapp=1&amp;sender_device=pc&amp;web_id=7694983513922651666" TargetMode="External"/><Relationship Id="rId58" Type="http://schemas.openxmlformats.org/officeDocument/2006/relationships/hyperlink" Target="https://www.tiktok.com/@yudistardhana13/video/7155364182999698715?is_from_webapp=1&amp;sender_device=pc&amp;web_id=7694983513922651666" TargetMode="External"/><Relationship Id="rId66" Type="http://schemas.openxmlformats.org/officeDocument/2006/relationships/hyperlink" Target="https://www.tiktok.com/@mindecho65/video/7642993701198859542?q=quotes&amp;t=1791631751143" TargetMode="External"/><Relationship Id="rId5" Type="http://schemas.openxmlformats.org/officeDocument/2006/relationships/hyperlink" Target="https://www.tiktok.com/@dotacinematiktok/video/7693923416402890006?is_from_webapp=1&amp;sender_device=pc&amp;web_id=7694983513922651666" TargetMode="External"/><Relationship Id="rId61" Type="http://schemas.openxmlformats.org/officeDocument/2006/relationships/hyperlink" Target="https://www.tiktok.com/@mhjkslx/video/7518464049546333448?q=Fashion%20Outfits&amp;t=1791631421059" TargetMode="External"/><Relationship Id="rId19" Type="http://schemas.openxmlformats.org/officeDocument/2006/relationships/hyperlink" Target="https://www.tiktok.com/@scarynight44/video/7584256357969218834?is_from_webapp=1&amp;sender_device=pc&amp;web_id=7694983513922651666" TargetMode="External"/><Relationship Id="rId14" Type="http://schemas.openxmlformats.org/officeDocument/2006/relationships/hyperlink" Target="https://www.tiktok.com/@muazexee/video/7691344136783318290?is_from_webapp=1&amp;sender_device=pc&amp;web_id=7694983513922651666" TargetMode="External"/><Relationship Id="rId22" Type="http://schemas.openxmlformats.org/officeDocument/2006/relationships/hyperlink" Target="https://www.tiktok.com/@mang0.mochi/video/7572244733628648735?q=shiopan&amp;t=1791628519964" TargetMode="External"/><Relationship Id="rId27" Type="http://schemas.openxmlformats.org/officeDocument/2006/relationships/hyperlink" Target="https://www.tiktok.com/@agartisansignature/video/7688563968570330375?q=ayam%20gepuk&amp;t=1791628653659" TargetMode="External"/><Relationship Id="rId30" Type="http://schemas.openxmlformats.org/officeDocument/2006/relationships/hyperlink" Target="https://www.tiktok.com/@foodie_msia/video/7694499434910076181?q=nasi%20lemak&amp;t=1791628760905" TargetMode="External"/><Relationship Id="rId35" Type="http://schemas.openxmlformats.org/officeDocument/2006/relationships/hyperlink" Target="https://www.tiktok.com/@wealthbyjo/video/7694621394927340820?is_from_webapp=1&amp;sender_device=pc&amp;web_id=7694983513922651666" TargetMode="External"/><Relationship Id="rId43" Type="http://schemas.openxmlformats.org/officeDocument/2006/relationships/hyperlink" Target="https://www.tiktok.com/@penayuzan/video/7652975880842579220?q=fuse%20beads&amp;t=1791631022880" TargetMode="External"/><Relationship Id="rId48" Type="http://schemas.openxmlformats.org/officeDocument/2006/relationships/hyperlink" Target="https://www.tiktok.com/@giian_4/video/7528311943216614663?is_from_webapp=1&amp;sender_device=pc&amp;web_id=7694983513922651666" TargetMode="External"/><Relationship Id="rId56" Type="http://schemas.openxmlformats.org/officeDocument/2006/relationships/hyperlink" Target="https://www.tiktok.com/@cutnazillaa/video/7642553754784468231?q=Daily%20vlog&amp;t=1791631311511" TargetMode="External"/><Relationship Id="rId64" Type="http://schemas.openxmlformats.org/officeDocument/2006/relationships/hyperlink" Target="https://www.tiktok.com/@jordfinance/video/7675373222300306706?q=finance&amp;t=1791631614931" TargetMode="External"/><Relationship Id="rId69" Type="http://schemas.openxmlformats.org/officeDocument/2006/relationships/hyperlink" Target="https://www.tiktok.com/@.unknown6322/photo/7597552842123037974?is_from_webapp=1&amp;sender_device=pc&amp;web_id=7694983513922651666" TargetMode="External"/><Relationship Id="rId8" Type="http://schemas.openxmlformats.org/officeDocument/2006/relationships/hyperlink" Target="https://www.tiktok.com/@chesayang_kitchen/video/7284776348235664658?q=tanghulu&amp;t=1791628216978" TargetMode="External"/><Relationship Id="rId51" Type="http://schemas.openxmlformats.org/officeDocument/2006/relationships/hyperlink" Target="https://www.tiktok.com/@foodwithliz/video/7644257366317223182?q=travel&amp;t=1791631156758" TargetMode="External"/><Relationship Id="rId72" Type="http://schemas.openxmlformats.org/officeDocument/2006/relationships/table" Target="../tables/table1.xml"/><Relationship Id="rId3" Type="http://schemas.openxmlformats.org/officeDocument/2006/relationships/hyperlink" Target="https://www.tiktok.com/@ggwpanic/video/7691729469500902688?is_from_webapp=1&amp;sender_device=pc&amp;web_id=7694983513922651666" TargetMode="External"/><Relationship Id="rId12" Type="http://schemas.openxmlformats.org/officeDocument/2006/relationships/hyperlink" Target="https://www.tiktok.com/@baby_mochi_3/video/7610361942582021394?q=Daifuku%20mochi&amp;t=1791628337627" TargetMode="External"/><Relationship Id="rId17" Type="http://schemas.openxmlformats.org/officeDocument/2006/relationships/hyperlink" Target="https://www.tiktok.com/@rofelgaming/video/7694536443867188494?is_from_webapp=1&amp;sender_device=pc&amp;web_id=7694983513922651666" TargetMode="External"/><Relationship Id="rId25" Type="http://schemas.openxmlformats.org/officeDocument/2006/relationships/hyperlink" Target="https://www.tiktok.com/@capikkkkkk/video/7673470048287116565?q=ayam%20gepuk&amp;t=1791628653659" TargetMode="External"/><Relationship Id="rId33" Type="http://schemas.openxmlformats.org/officeDocument/2006/relationships/hyperlink" Target="https://www.tiktok.com/@meowsquishymeow/video/7694220905756495135?q=squishy&amp;t=1791630715257" TargetMode="External"/><Relationship Id="rId38" Type="http://schemas.openxmlformats.org/officeDocument/2006/relationships/hyperlink" Target="https://www.tiktok.com/@arianalee99/video/7663970145970212127?q=slime&amp;t=1791630882311" TargetMode="External"/><Relationship Id="rId46" Type="http://schemas.openxmlformats.org/officeDocument/2006/relationships/hyperlink" Target="https://www.tiktok.com/@calmpixel11/video/7669055360359042317?q=fuse%20beads&amp;t=1791631022880" TargetMode="External"/><Relationship Id="rId59" Type="http://schemas.openxmlformats.org/officeDocument/2006/relationships/hyperlink" Target="https://www.tiktok.com/@lluna_me/photo/7690553411019787538?q=Fashion%20Outfits&amp;t=1791631421059" TargetMode="External"/><Relationship Id="rId67" Type="http://schemas.openxmlformats.org/officeDocument/2006/relationships/hyperlink" Target="https://www.tiktok.com/@99shoppin/video/7680834425822678292?q=quotes&amp;t=1791631751143" TargetMode="External"/><Relationship Id="rId20" Type="http://schemas.openxmlformats.org/officeDocument/2006/relationships/hyperlink" Target="https://www.tiktok.com/@natashatannnnn/video/7614395909748641042?q=shiopan&amp;t=1791628519964" TargetMode="External"/><Relationship Id="rId41" Type="http://schemas.openxmlformats.org/officeDocument/2006/relationships/hyperlink" Target="https://www.tiktok.com/@rinomanwiler/video/7666401841130786078?q=slime&amp;t=1791630882311" TargetMode="External"/><Relationship Id="rId54" Type="http://schemas.openxmlformats.org/officeDocument/2006/relationships/hyperlink" Target="https://www.tiktok.com/@yhuco_/video/7664170518412578055?q=Daily%20vlog&amp;t=1791631311511" TargetMode="External"/><Relationship Id="rId62" Type="http://schemas.openxmlformats.org/officeDocument/2006/relationships/hyperlink" Target="https://www.tiktok.com/@selfloveninie/photo/7689623036651277589?q=Fashion%20Outfits&amp;t=1791631421059" TargetMode="External"/><Relationship Id="rId70" Type="http://schemas.openxmlformats.org/officeDocument/2006/relationships/hyperlink" Target="https://www.tiktok.com/@stdw.tam/video/7677222258594663698?is_from_webapp=1&amp;sender_device=pc&amp;web_id=7694983513922651666" TargetMode="External"/><Relationship Id="rId1" Type="http://schemas.openxmlformats.org/officeDocument/2006/relationships/hyperlink" Target="https://www.tiktok.com/@dotacinematiktok/video/7694052235348561174?is_from_webapp=1&amp;sender_device=pc&amp;web_id=7694983513922651666" TargetMode="External"/><Relationship Id="rId6" Type="http://schemas.openxmlformats.org/officeDocument/2006/relationships/hyperlink" Target="https://www.tiktok.com/@abigailfmarquez/video/7326892850531028230?q=tanghulu&amp;t=1791628216978" TargetMode="External"/><Relationship Id="rId15" Type="http://schemas.openxmlformats.org/officeDocument/2006/relationships/hyperlink" Target="https://www.tiktok.com/@fogflash1/video/7683633687111486740?is_from_webapp=1&amp;sender_device=pc&amp;web_id=7694983513922651666" TargetMode="External"/><Relationship Id="rId23" Type="http://schemas.openxmlformats.org/officeDocument/2006/relationships/hyperlink" Target="https://www.tiktok.com/@khairulaming/video/7213959942104026395?q=ayam%20gepuk&amp;t=1791628653659" TargetMode="External"/><Relationship Id="rId28" Type="http://schemas.openxmlformats.org/officeDocument/2006/relationships/hyperlink" Target="https://www.tiktok.com/@professor.of.univ6/video/7645694434524286221?is_from_webapp=1&amp;sender_device=pc&amp;web_id=7694983513922651666" TargetMode="External"/><Relationship Id="rId36" Type="http://schemas.openxmlformats.org/officeDocument/2006/relationships/hyperlink" Target="https://www.tiktok.com/@anniesbucketlist/video/7694798735657766164?q=squishy&amp;t=1791630715257" TargetMode="External"/><Relationship Id="rId49" Type="http://schemas.openxmlformats.org/officeDocument/2006/relationships/hyperlink" Target="https://www.tiktok.com/@aripsajer/video/7632885806172015892?q=travel&amp;t=1791631156758" TargetMode="External"/><Relationship Id="rId57" Type="http://schemas.openxmlformats.org/officeDocument/2006/relationships/hyperlink" Target="https://www.tiktok.com/@vidaselvagem55/video/7692825791087889685?is_from_webapp=1&amp;sender_device=pc&amp;web_id=7694983513922651666" TargetMode="External"/><Relationship Id="rId10" Type="http://schemas.openxmlformats.org/officeDocument/2006/relationships/hyperlink" Target="https://www.tiktok.com/@aldoxdyrroth/video/7688666252579015944?is_from_webapp=1&amp;sender_device=pc&amp;web_id=7694983513922651666" TargetMode="External"/><Relationship Id="rId31" Type="http://schemas.openxmlformats.org/officeDocument/2006/relationships/hyperlink" Target="https://www.tiktok.com/@rossarosha/video/7603803206132534536?q=nasi%20lemak&amp;t=1791628760905" TargetMode="External"/><Relationship Id="rId44" Type="http://schemas.openxmlformats.org/officeDocument/2006/relationships/hyperlink" Target="https://www.tiktok.com/@banan85213/video/7672835151692385569?is_from_webapp=1&amp;sender_device=pc&amp;web_id=7694983513922651666" TargetMode="External"/><Relationship Id="rId52" Type="http://schemas.openxmlformats.org/officeDocument/2006/relationships/hyperlink" Target="https://www.tiktok.com/@ye_.jiang/video/7436603445529857287?is_from_webapp=1&amp;sender_device=pc&amp;web_id=7694983513922651666" TargetMode="External"/><Relationship Id="rId60" Type="http://schemas.openxmlformats.org/officeDocument/2006/relationships/hyperlink" Target="https://www.tiktok.com/@davidnaveda8/video/7641377464958094606?is_from_webapp=1&amp;sender_device=pc&amp;web_id=7694983513922651666" TargetMode="External"/><Relationship Id="rId65" Type="http://schemas.openxmlformats.org/officeDocument/2006/relationships/hyperlink" Target="https://www.tiktok.com/@thewisesaid2/video/7616774805429275926?q=finance&amp;t=1791631614931" TargetMode="External"/><Relationship Id="rId4" Type="http://schemas.openxmlformats.org/officeDocument/2006/relationships/hyperlink" Target="https://www.tiktok.com/@capikkkkkk/video/7663028978030087444?q=dubai%20chocolate&amp;t=1791627479325" TargetMode="External"/><Relationship Id="rId9" Type="http://schemas.openxmlformats.org/officeDocument/2006/relationships/hyperlink" Target="https://www.tiktok.com/@nickskitchen/video/7683661493648362782?q=tanghulu&amp;t=1791628216978" TargetMode="External"/><Relationship Id="rId13" Type="http://schemas.openxmlformats.org/officeDocument/2006/relationships/hyperlink" Target="https://www.tiktok.com/@afifahmashadi/video/7694463988087688469?q=Daifuku%20mochi&amp;t=1791628337627" TargetMode="External"/><Relationship Id="rId18" Type="http://schemas.openxmlformats.org/officeDocument/2006/relationships/hyperlink" Target="https://www.tiktok.com/@erin.lim/video/7573754054728371511?q=shiopan&amp;t=1791628519964" TargetMode="External"/><Relationship Id="rId39" Type="http://schemas.openxmlformats.org/officeDocument/2006/relationships/hyperlink" Target="https://www.tiktok.com/@asmr.videos4430/video/7635667820084333844?q=slime&amp;t=1791630882311" TargetMode="External"/><Relationship Id="rId34" Type="http://schemas.openxmlformats.org/officeDocument/2006/relationships/hyperlink" Target="https://www.tiktok.com/@anniesbucketlist/video/7694798735657766164?q=squishy&amp;t=1791630715257" TargetMode="External"/><Relationship Id="rId50" Type="http://schemas.openxmlformats.org/officeDocument/2006/relationships/hyperlink" Target="https://www.tiktok.com/@xiaohongshu_art_tutorial/video/7658907380155026710?is_from_webapp=1&amp;sender_device=pc&amp;web_id=7694983513922651666" TargetMode="External"/><Relationship Id="rId55" Type="http://schemas.openxmlformats.org/officeDocument/2006/relationships/hyperlink" Target="https://www.tiktok.com/@miamiffylover/video/7678897158715657492?q=Daily%20vlog&amp;t=1791631311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zoomScale="75" workbookViewId="0">
      <pane ySplit="1" topLeftCell="A59" activePane="bottomLeft" state="frozen"/>
      <selection pane="bottomLeft" activeCell="M73" sqref="M73"/>
    </sheetView>
  </sheetViews>
  <sheetFormatPr baseColWidth="10" defaultColWidth="8.83203125" defaultRowHeight="15"/>
  <cols>
    <col min="1" max="1" width="14" customWidth="1"/>
    <col min="2" max="2" width="13" customWidth="1"/>
    <col min="3" max="3" width="20" customWidth="1"/>
    <col min="4" max="4" width="16" customWidth="1"/>
    <col min="5" max="5" width="28" customWidth="1"/>
    <col min="6" max="7" width="36" customWidth="1"/>
    <col min="8" max="11" width="13" customWidth="1"/>
    <col min="12" max="15" width="16" customWidth="1"/>
    <col min="16" max="16" width="28" customWidth="1"/>
  </cols>
  <sheetData>
    <row r="1" spans="1:1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8">
      <c r="A2" s="3"/>
      <c r="B2" s="2"/>
      <c r="C2" s="2" t="s">
        <v>16</v>
      </c>
      <c r="D2" s="2" t="s">
        <v>17</v>
      </c>
      <c r="E2" s="2" t="s">
        <v>18</v>
      </c>
      <c r="F2" s="7" t="s">
        <v>19</v>
      </c>
      <c r="G2" s="2"/>
      <c r="H2" s="4" t="s">
        <v>20</v>
      </c>
      <c r="I2" s="4" t="s">
        <v>21</v>
      </c>
      <c r="J2" s="4" t="s">
        <v>22</v>
      </c>
      <c r="K2" s="4" t="s">
        <v>23</v>
      </c>
      <c r="L2" s="5">
        <f t="shared" ref="L2:L32" si="0">IFERROR((I2+J2+K2)/H2,0)</f>
        <v>0</v>
      </c>
      <c r="M2" s="5">
        <f t="shared" ref="M2:M33" si="1">IFERROR(I2/H2,0)</f>
        <v>0</v>
      </c>
      <c r="N2" s="5">
        <f t="shared" ref="N2:N33" si="2">IFERROR(J2/H2,0)</f>
        <v>0</v>
      </c>
      <c r="O2" s="5">
        <f t="shared" ref="O2:O33" si="3">IFERROR(K2/H2,0)</f>
        <v>0</v>
      </c>
      <c r="P2" s="2"/>
    </row>
    <row r="3" spans="1:16" ht="48">
      <c r="A3" s="3"/>
      <c r="B3" s="2"/>
      <c r="C3" s="2" t="s">
        <v>16</v>
      </c>
      <c r="D3" s="2" t="s">
        <v>17</v>
      </c>
      <c r="E3" s="2" t="s">
        <v>24</v>
      </c>
      <c r="F3" s="7" t="s">
        <v>25</v>
      </c>
      <c r="G3" s="2"/>
      <c r="H3" s="4" t="s">
        <v>26</v>
      </c>
      <c r="I3" s="4" t="s">
        <v>27</v>
      </c>
      <c r="J3" s="4">
        <v>957</v>
      </c>
      <c r="K3" s="4" t="s">
        <v>28</v>
      </c>
      <c r="L3" s="5">
        <f t="shared" si="0"/>
        <v>0</v>
      </c>
      <c r="M3" s="5">
        <f t="shared" si="1"/>
        <v>0</v>
      </c>
      <c r="N3" s="5">
        <f t="shared" si="2"/>
        <v>0</v>
      </c>
      <c r="O3" s="5">
        <f t="shared" si="3"/>
        <v>0</v>
      </c>
      <c r="P3" s="2"/>
    </row>
    <row r="4" spans="1:16" ht="48">
      <c r="A4" s="3"/>
      <c r="B4" s="2"/>
      <c r="C4" s="2" t="s">
        <v>16</v>
      </c>
      <c r="D4" s="2" t="s">
        <v>17</v>
      </c>
      <c r="E4" s="2" t="s">
        <v>29</v>
      </c>
      <c r="F4" s="7" t="s">
        <v>30</v>
      </c>
      <c r="G4" s="2"/>
      <c r="H4" s="4" t="s">
        <v>31</v>
      </c>
      <c r="I4" s="4" t="s">
        <v>32</v>
      </c>
      <c r="J4" s="4">
        <v>176</v>
      </c>
      <c r="K4" s="4">
        <v>1482</v>
      </c>
      <c r="L4" s="5">
        <f t="shared" si="0"/>
        <v>0</v>
      </c>
      <c r="M4" s="5">
        <f t="shared" si="1"/>
        <v>0</v>
      </c>
      <c r="N4" s="5">
        <f t="shared" si="2"/>
        <v>0</v>
      </c>
      <c r="O4" s="5">
        <f t="shared" si="3"/>
        <v>0</v>
      </c>
      <c r="P4" s="2"/>
    </row>
    <row r="5" spans="1:16" ht="48">
      <c r="A5" s="3"/>
      <c r="B5" s="2"/>
      <c r="C5" s="2" t="s">
        <v>33</v>
      </c>
      <c r="D5" s="2" t="s">
        <v>17</v>
      </c>
      <c r="E5" s="2" t="s">
        <v>18</v>
      </c>
      <c r="F5" s="7" t="s">
        <v>34</v>
      </c>
      <c r="G5" s="2"/>
      <c r="H5" s="4" t="s">
        <v>35</v>
      </c>
      <c r="I5" s="4" t="s">
        <v>36</v>
      </c>
      <c r="J5" s="4" t="s">
        <v>37</v>
      </c>
      <c r="K5" s="4" t="s">
        <v>38</v>
      </c>
      <c r="L5" s="5">
        <f t="shared" si="0"/>
        <v>0</v>
      </c>
      <c r="M5" s="5">
        <f t="shared" si="1"/>
        <v>0</v>
      </c>
      <c r="N5" s="5">
        <f t="shared" si="2"/>
        <v>0</v>
      </c>
      <c r="O5" s="5">
        <f t="shared" si="3"/>
        <v>0</v>
      </c>
      <c r="P5" s="2"/>
    </row>
    <row r="6" spans="1:16" ht="48">
      <c r="A6" s="3"/>
      <c r="B6" s="2"/>
      <c r="C6" s="2" t="s">
        <v>33</v>
      </c>
      <c r="D6" s="2" t="s">
        <v>17</v>
      </c>
      <c r="E6" s="2" t="s">
        <v>24</v>
      </c>
      <c r="F6" s="7" t="s">
        <v>39</v>
      </c>
      <c r="G6" s="2"/>
      <c r="H6" s="4" t="s">
        <v>40</v>
      </c>
      <c r="I6" s="4" t="s">
        <v>41</v>
      </c>
      <c r="J6" s="4">
        <v>169</v>
      </c>
      <c r="K6" s="4">
        <v>895</v>
      </c>
      <c r="L6" s="5">
        <f t="shared" si="0"/>
        <v>0</v>
      </c>
      <c r="M6" s="5">
        <f t="shared" si="1"/>
        <v>0</v>
      </c>
      <c r="N6" s="5">
        <f t="shared" si="2"/>
        <v>0</v>
      </c>
      <c r="O6" s="5">
        <f t="shared" si="3"/>
        <v>0</v>
      </c>
      <c r="P6" s="2"/>
    </row>
    <row r="7" spans="1:16" ht="48">
      <c r="A7" s="3"/>
      <c r="B7" s="2"/>
      <c r="C7" s="2" t="s">
        <v>33</v>
      </c>
      <c r="D7" s="2" t="s">
        <v>17</v>
      </c>
      <c r="E7" s="2" t="s">
        <v>29</v>
      </c>
      <c r="F7" s="7" t="s">
        <v>42</v>
      </c>
      <c r="G7" s="2"/>
      <c r="H7" s="4" t="s">
        <v>43</v>
      </c>
      <c r="I7" s="4" t="s">
        <v>44</v>
      </c>
      <c r="J7" s="4">
        <v>1474</v>
      </c>
      <c r="K7" s="4">
        <v>6206</v>
      </c>
      <c r="L7" s="5">
        <f t="shared" si="0"/>
        <v>0</v>
      </c>
      <c r="M7" s="5">
        <f t="shared" si="1"/>
        <v>0</v>
      </c>
      <c r="N7" s="5">
        <f t="shared" si="2"/>
        <v>0</v>
      </c>
      <c r="O7" s="5">
        <f t="shared" si="3"/>
        <v>0</v>
      </c>
      <c r="P7" s="2"/>
    </row>
    <row r="8" spans="1:16" ht="48">
      <c r="A8" s="3"/>
      <c r="B8" s="2"/>
      <c r="C8" s="2" t="s">
        <v>45</v>
      </c>
      <c r="D8" s="2" t="s">
        <v>17</v>
      </c>
      <c r="E8" s="2" t="s">
        <v>18</v>
      </c>
      <c r="F8" s="7" t="s">
        <v>46</v>
      </c>
      <c r="G8" s="2"/>
      <c r="H8" s="4" t="s">
        <v>47</v>
      </c>
      <c r="I8" s="4" t="s">
        <v>48</v>
      </c>
      <c r="J8" s="4" t="s">
        <v>49</v>
      </c>
      <c r="K8" s="4" t="s">
        <v>50</v>
      </c>
      <c r="L8" s="5">
        <f t="shared" si="0"/>
        <v>0</v>
      </c>
      <c r="M8" s="5">
        <f t="shared" si="1"/>
        <v>0</v>
      </c>
      <c r="N8" s="5">
        <f t="shared" si="2"/>
        <v>0</v>
      </c>
      <c r="O8" s="5">
        <f t="shared" si="3"/>
        <v>0</v>
      </c>
      <c r="P8" s="2"/>
    </row>
    <row r="9" spans="1:16" ht="48">
      <c r="A9" s="3"/>
      <c r="B9" s="2"/>
      <c r="C9" s="2" t="s">
        <v>45</v>
      </c>
      <c r="D9" s="2" t="s">
        <v>17</v>
      </c>
      <c r="E9" s="2" t="s">
        <v>24</v>
      </c>
      <c r="F9" s="7" t="s">
        <v>51</v>
      </c>
      <c r="G9" s="2"/>
      <c r="H9" s="4" t="s">
        <v>52</v>
      </c>
      <c r="I9" s="4" t="s">
        <v>53</v>
      </c>
      <c r="J9" s="4">
        <v>1345</v>
      </c>
      <c r="K9" s="4">
        <v>7642</v>
      </c>
      <c r="L9" s="5">
        <f t="shared" si="0"/>
        <v>0</v>
      </c>
      <c r="M9" s="5">
        <f t="shared" si="1"/>
        <v>0</v>
      </c>
      <c r="N9" s="5">
        <f t="shared" si="2"/>
        <v>0</v>
      </c>
      <c r="O9" s="5">
        <f t="shared" si="3"/>
        <v>0</v>
      </c>
      <c r="P9" s="2"/>
    </row>
    <row r="10" spans="1:16" ht="48">
      <c r="A10" s="3"/>
      <c r="B10" s="2"/>
      <c r="C10" s="2" t="s">
        <v>45</v>
      </c>
      <c r="D10" s="2" t="s">
        <v>17</v>
      </c>
      <c r="E10" s="2" t="s">
        <v>29</v>
      </c>
      <c r="F10" s="7" t="s">
        <v>54</v>
      </c>
      <c r="G10" s="2"/>
      <c r="H10" s="4" t="s">
        <v>55</v>
      </c>
      <c r="I10" s="4" t="s">
        <v>56</v>
      </c>
      <c r="J10" s="4">
        <v>285</v>
      </c>
      <c r="K10" s="4">
        <v>781</v>
      </c>
      <c r="L10" s="5">
        <f t="shared" si="0"/>
        <v>0</v>
      </c>
      <c r="M10" s="5">
        <f t="shared" si="1"/>
        <v>0</v>
      </c>
      <c r="N10" s="5">
        <f t="shared" si="2"/>
        <v>0</v>
      </c>
      <c r="O10" s="5">
        <f t="shared" si="3"/>
        <v>0</v>
      </c>
      <c r="P10" s="2"/>
    </row>
    <row r="11" spans="1:16" ht="64">
      <c r="A11" s="3"/>
      <c r="B11" s="2"/>
      <c r="C11" s="2" t="s">
        <v>57</v>
      </c>
      <c r="D11" s="2" t="s">
        <v>17</v>
      </c>
      <c r="E11" s="2" t="s">
        <v>18</v>
      </c>
      <c r="F11" s="2" t="s">
        <v>58</v>
      </c>
      <c r="G11" s="2"/>
      <c r="H11" s="4" t="s">
        <v>59</v>
      </c>
      <c r="I11" s="4" t="s">
        <v>60</v>
      </c>
      <c r="J11" s="4" t="s">
        <v>61</v>
      </c>
      <c r="K11" s="4" t="s">
        <v>62</v>
      </c>
      <c r="L11" s="5">
        <f t="shared" si="0"/>
        <v>0</v>
      </c>
      <c r="M11" s="5">
        <f t="shared" si="1"/>
        <v>0</v>
      </c>
      <c r="N11" s="5">
        <f t="shared" si="2"/>
        <v>0</v>
      </c>
      <c r="O11" s="5">
        <f t="shared" si="3"/>
        <v>0</v>
      </c>
      <c r="P11" s="2"/>
    </row>
    <row r="12" spans="1:16" ht="48">
      <c r="A12" s="3"/>
      <c r="B12" s="2"/>
      <c r="C12" s="2" t="s">
        <v>57</v>
      </c>
      <c r="D12" s="2" t="s">
        <v>17</v>
      </c>
      <c r="E12" s="2" t="s">
        <v>24</v>
      </c>
      <c r="F12" s="7" t="s">
        <v>63</v>
      </c>
      <c r="G12" s="2"/>
      <c r="H12" s="4" t="s">
        <v>64</v>
      </c>
      <c r="I12" s="4" t="s">
        <v>65</v>
      </c>
      <c r="J12" s="4">
        <v>906</v>
      </c>
      <c r="K12" s="4">
        <v>1378</v>
      </c>
      <c r="L12" s="5">
        <f t="shared" si="0"/>
        <v>0</v>
      </c>
      <c r="M12" s="5">
        <f t="shared" si="1"/>
        <v>0</v>
      </c>
      <c r="N12" s="5">
        <f t="shared" si="2"/>
        <v>0</v>
      </c>
      <c r="O12" s="5">
        <f t="shared" si="3"/>
        <v>0</v>
      </c>
      <c r="P12" s="2"/>
    </row>
    <row r="13" spans="1:16" ht="48">
      <c r="A13" s="3"/>
      <c r="B13" s="2"/>
      <c r="C13" s="2" t="s">
        <v>57</v>
      </c>
      <c r="D13" s="2" t="s">
        <v>17</v>
      </c>
      <c r="E13" s="2" t="s">
        <v>29</v>
      </c>
      <c r="F13" s="7" t="s">
        <v>66</v>
      </c>
      <c r="G13" s="2"/>
      <c r="H13" s="4" t="s">
        <v>67</v>
      </c>
      <c r="I13" s="4" t="s">
        <v>68</v>
      </c>
      <c r="J13" s="4">
        <v>2010</v>
      </c>
      <c r="K13" s="4">
        <v>4098</v>
      </c>
      <c r="L13" s="5">
        <f t="shared" si="0"/>
        <v>0</v>
      </c>
      <c r="M13" s="5">
        <f t="shared" si="1"/>
        <v>0</v>
      </c>
      <c r="N13" s="5">
        <f t="shared" si="2"/>
        <v>0</v>
      </c>
      <c r="O13" s="5">
        <f t="shared" si="3"/>
        <v>0</v>
      </c>
      <c r="P13" s="2"/>
    </row>
    <row r="14" spans="1:16" ht="48">
      <c r="A14" s="3"/>
      <c r="B14" s="2"/>
      <c r="C14" s="2" t="s">
        <v>69</v>
      </c>
      <c r="D14" s="2" t="s">
        <v>17</v>
      </c>
      <c r="E14" s="2" t="s">
        <v>18</v>
      </c>
      <c r="F14" s="7" t="s">
        <v>70</v>
      </c>
      <c r="G14" s="2"/>
      <c r="H14" s="4">
        <v>70</v>
      </c>
      <c r="I14" s="4">
        <v>41</v>
      </c>
      <c r="J14" s="4">
        <v>10</v>
      </c>
      <c r="K14" s="4">
        <v>10</v>
      </c>
      <c r="L14" s="5">
        <f t="shared" si="0"/>
        <v>0.87142857142857144</v>
      </c>
      <c r="M14" s="5">
        <f t="shared" si="1"/>
        <v>0.58571428571428574</v>
      </c>
      <c r="N14" s="5">
        <f t="shared" si="2"/>
        <v>0.14285714285714285</v>
      </c>
      <c r="O14" s="5">
        <f t="shared" si="3"/>
        <v>0.14285714285714285</v>
      </c>
      <c r="P14" s="2"/>
    </row>
    <row r="15" spans="1:16" ht="48">
      <c r="A15" s="3"/>
      <c r="B15" s="2"/>
      <c r="C15" s="2" t="s">
        <v>69</v>
      </c>
      <c r="D15" s="2" t="s">
        <v>17</v>
      </c>
      <c r="E15" s="2" t="s">
        <v>24</v>
      </c>
      <c r="F15" s="7" t="s">
        <v>71</v>
      </c>
      <c r="G15" s="2"/>
      <c r="H15" s="4">
        <v>700</v>
      </c>
      <c r="I15" s="4">
        <v>553</v>
      </c>
      <c r="J15" s="4">
        <v>27</v>
      </c>
      <c r="K15" s="4">
        <v>77</v>
      </c>
      <c r="L15" s="5">
        <f t="shared" si="0"/>
        <v>0.93857142857142861</v>
      </c>
      <c r="M15" s="5">
        <f t="shared" si="1"/>
        <v>0.79</v>
      </c>
      <c r="N15" s="5">
        <f t="shared" si="2"/>
        <v>3.8571428571428569E-2</v>
      </c>
      <c r="O15" s="5">
        <f t="shared" si="3"/>
        <v>0.11</v>
      </c>
      <c r="P15" s="2"/>
    </row>
    <row r="16" spans="1:16" ht="48">
      <c r="A16" s="3"/>
      <c r="B16" s="2"/>
      <c r="C16" s="2" t="s">
        <v>69</v>
      </c>
      <c r="D16" s="2" t="s">
        <v>17</v>
      </c>
      <c r="E16" s="2" t="s">
        <v>29</v>
      </c>
      <c r="F16" s="7" t="s">
        <v>72</v>
      </c>
      <c r="G16" s="2"/>
      <c r="H16" s="4" t="s">
        <v>73</v>
      </c>
      <c r="I16" s="4" t="s">
        <v>74</v>
      </c>
      <c r="J16" s="4">
        <v>1002</v>
      </c>
      <c r="K16" s="4" t="s">
        <v>75</v>
      </c>
      <c r="L16" s="5">
        <f t="shared" si="0"/>
        <v>0</v>
      </c>
      <c r="M16" s="5">
        <f t="shared" si="1"/>
        <v>0</v>
      </c>
      <c r="N16" s="5">
        <f t="shared" si="2"/>
        <v>0</v>
      </c>
      <c r="O16" s="5">
        <f t="shared" si="3"/>
        <v>0</v>
      </c>
      <c r="P16" s="2"/>
    </row>
    <row r="17" spans="1:16" ht="48">
      <c r="A17" s="3"/>
      <c r="B17" s="2"/>
      <c r="C17" s="2" t="s">
        <v>76</v>
      </c>
      <c r="D17" s="2" t="s">
        <v>17</v>
      </c>
      <c r="E17" s="2" t="s">
        <v>18</v>
      </c>
      <c r="F17" s="7" t="s">
        <v>77</v>
      </c>
      <c r="G17" s="2"/>
      <c r="H17" s="4" t="s">
        <v>78</v>
      </c>
      <c r="I17" s="4" t="s">
        <v>79</v>
      </c>
      <c r="J17" s="4">
        <v>2541</v>
      </c>
      <c r="K17" s="4" t="s">
        <v>80</v>
      </c>
      <c r="L17" s="5">
        <f t="shared" si="0"/>
        <v>0</v>
      </c>
      <c r="M17" s="5">
        <f t="shared" si="1"/>
        <v>0</v>
      </c>
      <c r="N17" s="5">
        <f t="shared" si="2"/>
        <v>0</v>
      </c>
      <c r="O17" s="5">
        <f t="shared" si="3"/>
        <v>0</v>
      </c>
      <c r="P17" s="2"/>
    </row>
    <row r="18" spans="1:16" ht="48">
      <c r="A18" s="3"/>
      <c r="B18" s="2"/>
      <c r="C18" s="2" t="s">
        <v>76</v>
      </c>
      <c r="D18" s="2" t="s">
        <v>17</v>
      </c>
      <c r="E18" s="2" t="s">
        <v>24</v>
      </c>
      <c r="F18" s="7" t="s">
        <v>81</v>
      </c>
      <c r="G18" s="2"/>
      <c r="H18" s="4" t="s">
        <v>82</v>
      </c>
      <c r="I18" s="4" t="s">
        <v>83</v>
      </c>
      <c r="J18" s="4">
        <v>245</v>
      </c>
      <c r="K18" s="4">
        <v>4353</v>
      </c>
      <c r="L18" s="5">
        <f t="shared" si="0"/>
        <v>0</v>
      </c>
      <c r="M18" s="5">
        <f t="shared" si="1"/>
        <v>0</v>
      </c>
      <c r="N18" s="5">
        <f t="shared" si="2"/>
        <v>0</v>
      </c>
      <c r="O18" s="5">
        <f t="shared" si="3"/>
        <v>0</v>
      </c>
      <c r="P18" s="2"/>
    </row>
    <row r="19" spans="1:16" ht="48">
      <c r="A19" s="3"/>
      <c r="B19" s="2"/>
      <c r="C19" s="2" t="s">
        <v>76</v>
      </c>
      <c r="D19" s="2" t="s">
        <v>17</v>
      </c>
      <c r="E19" s="2" t="s">
        <v>29</v>
      </c>
      <c r="F19" s="7" t="s">
        <v>84</v>
      </c>
      <c r="G19" s="2"/>
      <c r="H19" s="4" t="s">
        <v>85</v>
      </c>
      <c r="I19" s="4" t="s">
        <v>86</v>
      </c>
      <c r="J19" s="4">
        <v>2705</v>
      </c>
      <c r="K19" s="4" t="s">
        <v>87</v>
      </c>
      <c r="L19" s="5">
        <f t="shared" si="0"/>
        <v>0</v>
      </c>
      <c r="M19" s="5">
        <f t="shared" si="1"/>
        <v>0</v>
      </c>
      <c r="N19" s="5">
        <f t="shared" si="2"/>
        <v>0</v>
      </c>
      <c r="O19" s="5">
        <f t="shared" si="3"/>
        <v>0</v>
      </c>
      <c r="P19" s="2"/>
    </row>
    <row r="20" spans="1:16" ht="64">
      <c r="A20" s="3"/>
      <c r="B20" s="2"/>
      <c r="C20" s="2" t="s">
        <v>88</v>
      </c>
      <c r="D20" s="2" t="s">
        <v>89</v>
      </c>
      <c r="E20" s="2" t="s">
        <v>18</v>
      </c>
      <c r="F20" s="7" t="s">
        <v>90</v>
      </c>
      <c r="G20" s="2"/>
      <c r="H20" s="4" t="s">
        <v>91</v>
      </c>
      <c r="I20" s="4" t="s">
        <v>92</v>
      </c>
      <c r="J20" s="4">
        <v>1233</v>
      </c>
      <c r="K20" s="4">
        <v>9378</v>
      </c>
      <c r="L20" s="5">
        <f t="shared" si="0"/>
        <v>0</v>
      </c>
      <c r="M20" s="5">
        <f t="shared" si="1"/>
        <v>0</v>
      </c>
      <c r="N20" s="5">
        <f t="shared" si="2"/>
        <v>0</v>
      </c>
      <c r="O20" s="5">
        <f t="shared" si="3"/>
        <v>0</v>
      </c>
      <c r="P20" s="2"/>
    </row>
    <row r="21" spans="1:16" ht="64">
      <c r="A21" s="3"/>
      <c r="B21" s="2"/>
      <c r="C21" s="2" t="s">
        <v>88</v>
      </c>
      <c r="D21" s="2" t="s">
        <v>89</v>
      </c>
      <c r="E21" s="2" t="s">
        <v>24</v>
      </c>
      <c r="F21" s="7" t="s">
        <v>93</v>
      </c>
      <c r="G21" s="2"/>
      <c r="H21" s="4" t="s">
        <v>94</v>
      </c>
      <c r="I21" s="4" t="s">
        <v>95</v>
      </c>
      <c r="J21" s="4">
        <v>242</v>
      </c>
      <c r="K21" s="4">
        <v>2928</v>
      </c>
      <c r="L21" s="5">
        <f t="shared" si="0"/>
        <v>0</v>
      </c>
      <c r="M21" s="5">
        <f t="shared" si="1"/>
        <v>0</v>
      </c>
      <c r="N21" s="5">
        <f t="shared" si="2"/>
        <v>0</v>
      </c>
      <c r="O21" s="5">
        <f t="shared" si="3"/>
        <v>0</v>
      </c>
      <c r="P21" s="2"/>
    </row>
    <row r="22" spans="1:16" ht="64">
      <c r="A22" s="3"/>
      <c r="B22" s="2"/>
      <c r="C22" s="2" t="s">
        <v>88</v>
      </c>
      <c r="D22" s="2" t="s">
        <v>89</v>
      </c>
      <c r="E22" s="2" t="s">
        <v>29</v>
      </c>
      <c r="F22" s="7" t="s">
        <v>96</v>
      </c>
      <c r="G22" s="2"/>
      <c r="H22" s="4" t="s">
        <v>97</v>
      </c>
      <c r="I22" s="4">
        <v>8684</v>
      </c>
      <c r="J22" s="4">
        <v>282</v>
      </c>
      <c r="K22" s="4">
        <v>432</v>
      </c>
      <c r="L22" s="5">
        <f t="shared" si="0"/>
        <v>0</v>
      </c>
      <c r="M22" s="5">
        <f t="shared" si="1"/>
        <v>0</v>
      </c>
      <c r="N22" s="5">
        <f t="shared" si="2"/>
        <v>0</v>
      </c>
      <c r="O22" s="5">
        <f t="shared" si="3"/>
        <v>0</v>
      </c>
      <c r="P22" s="2"/>
    </row>
    <row r="23" spans="1:16" ht="64">
      <c r="A23" s="3"/>
      <c r="B23" s="2"/>
      <c r="C23" s="2" t="s">
        <v>98</v>
      </c>
      <c r="D23" s="2" t="s">
        <v>89</v>
      </c>
      <c r="E23" s="2" t="s">
        <v>18</v>
      </c>
      <c r="F23" s="7" t="s">
        <v>99</v>
      </c>
      <c r="G23" s="2"/>
      <c r="H23" s="4" t="s">
        <v>100</v>
      </c>
      <c r="I23" s="4" t="s">
        <v>101</v>
      </c>
      <c r="J23" s="4">
        <v>181</v>
      </c>
      <c r="K23" s="4">
        <v>642</v>
      </c>
      <c r="L23" s="5">
        <f t="shared" si="0"/>
        <v>0</v>
      </c>
      <c r="M23" s="5">
        <f t="shared" si="1"/>
        <v>0</v>
      </c>
      <c r="N23" s="5">
        <f t="shared" si="2"/>
        <v>0</v>
      </c>
      <c r="O23" s="5">
        <f t="shared" si="3"/>
        <v>0</v>
      </c>
      <c r="P23" s="2"/>
    </row>
    <row r="24" spans="1:16" ht="64">
      <c r="A24" s="3"/>
      <c r="B24" s="2"/>
      <c r="C24" s="2" t="s">
        <v>98</v>
      </c>
      <c r="D24" s="2" t="s">
        <v>89</v>
      </c>
      <c r="E24" s="2" t="s">
        <v>24</v>
      </c>
      <c r="F24" s="7" t="s">
        <v>102</v>
      </c>
      <c r="G24" s="2"/>
      <c r="H24" s="4" t="s">
        <v>103</v>
      </c>
      <c r="I24" s="4" t="s">
        <v>28</v>
      </c>
      <c r="J24" s="4">
        <v>373</v>
      </c>
      <c r="K24" s="4">
        <v>2772</v>
      </c>
      <c r="L24" s="5">
        <f t="shared" si="0"/>
        <v>0</v>
      </c>
      <c r="M24" s="5">
        <f t="shared" si="1"/>
        <v>0</v>
      </c>
      <c r="N24" s="5">
        <f t="shared" si="2"/>
        <v>0</v>
      </c>
      <c r="O24" s="5">
        <f t="shared" si="3"/>
        <v>0</v>
      </c>
      <c r="P24" s="2"/>
    </row>
    <row r="25" spans="1:16" ht="64">
      <c r="A25" s="3"/>
      <c r="B25" s="2"/>
      <c r="C25" s="2" t="s">
        <v>98</v>
      </c>
      <c r="D25" s="2" t="s">
        <v>89</v>
      </c>
      <c r="E25" s="2" t="s">
        <v>29</v>
      </c>
      <c r="F25" s="7" t="s">
        <v>104</v>
      </c>
      <c r="G25" s="2"/>
      <c r="H25" s="4" t="s">
        <v>105</v>
      </c>
      <c r="I25" s="4" t="s">
        <v>106</v>
      </c>
      <c r="J25" s="4">
        <v>933</v>
      </c>
      <c r="K25" s="4" t="s">
        <v>107</v>
      </c>
      <c r="L25" s="5">
        <f t="shared" si="0"/>
        <v>0</v>
      </c>
      <c r="M25" s="5">
        <f t="shared" si="1"/>
        <v>0</v>
      </c>
      <c r="N25" s="5">
        <f t="shared" si="2"/>
        <v>0</v>
      </c>
      <c r="O25" s="5">
        <f t="shared" si="3"/>
        <v>0</v>
      </c>
      <c r="P25" s="2"/>
    </row>
    <row r="26" spans="1:16" ht="64">
      <c r="A26" s="3"/>
      <c r="B26" s="2"/>
      <c r="C26" s="2" t="s">
        <v>108</v>
      </c>
      <c r="D26" s="2" t="s">
        <v>89</v>
      </c>
      <c r="E26" s="2" t="s">
        <v>18</v>
      </c>
      <c r="F26" s="7" t="s">
        <v>109</v>
      </c>
      <c r="G26" s="2"/>
      <c r="H26" s="4" t="s">
        <v>110</v>
      </c>
      <c r="I26" s="4" t="s">
        <v>111</v>
      </c>
      <c r="J26" s="4">
        <v>738</v>
      </c>
      <c r="K26" s="4" t="s">
        <v>112</v>
      </c>
      <c r="L26" s="5">
        <f t="shared" si="0"/>
        <v>0</v>
      </c>
      <c r="M26" s="5">
        <f t="shared" si="1"/>
        <v>0</v>
      </c>
      <c r="N26" s="5">
        <f t="shared" si="2"/>
        <v>0</v>
      </c>
      <c r="O26" s="5">
        <f t="shared" si="3"/>
        <v>0</v>
      </c>
      <c r="P26" s="2"/>
    </row>
    <row r="27" spans="1:16" ht="64">
      <c r="A27" s="3"/>
      <c r="B27" s="2"/>
      <c r="C27" s="2" t="s">
        <v>108</v>
      </c>
      <c r="D27" s="2" t="s">
        <v>89</v>
      </c>
      <c r="E27" s="2" t="s">
        <v>24</v>
      </c>
      <c r="F27" s="7" t="s">
        <v>113</v>
      </c>
      <c r="G27" s="2"/>
      <c r="H27" s="4" t="s">
        <v>114</v>
      </c>
      <c r="I27" s="4" t="s">
        <v>115</v>
      </c>
      <c r="J27" s="4">
        <v>1567</v>
      </c>
      <c r="K27" s="4">
        <v>7639</v>
      </c>
      <c r="L27" s="5">
        <f t="shared" si="0"/>
        <v>0</v>
      </c>
      <c r="M27" s="5">
        <f t="shared" si="1"/>
        <v>0</v>
      </c>
      <c r="N27" s="5">
        <f t="shared" si="2"/>
        <v>0</v>
      </c>
      <c r="O27" s="5">
        <f t="shared" si="3"/>
        <v>0</v>
      </c>
      <c r="P27" s="2"/>
    </row>
    <row r="28" spans="1:16" ht="64">
      <c r="A28" s="3"/>
      <c r="B28" s="2"/>
      <c r="C28" s="2" t="s">
        <v>108</v>
      </c>
      <c r="D28" s="2" t="s">
        <v>89</v>
      </c>
      <c r="E28" s="2" t="s">
        <v>29</v>
      </c>
      <c r="F28" s="7" t="s">
        <v>116</v>
      </c>
      <c r="G28" s="2"/>
      <c r="H28" s="4" t="s">
        <v>117</v>
      </c>
      <c r="I28" s="4">
        <v>5518</v>
      </c>
      <c r="J28" s="4">
        <v>76</v>
      </c>
      <c r="K28" s="4">
        <v>225</v>
      </c>
      <c r="L28" s="5">
        <f t="shared" si="0"/>
        <v>0</v>
      </c>
      <c r="M28" s="5">
        <f t="shared" si="1"/>
        <v>0</v>
      </c>
      <c r="N28" s="5">
        <f t="shared" si="2"/>
        <v>0</v>
      </c>
      <c r="O28" s="5">
        <f t="shared" si="3"/>
        <v>0</v>
      </c>
      <c r="P28" s="2"/>
    </row>
    <row r="29" spans="1:16" ht="64">
      <c r="A29" s="3"/>
      <c r="B29" s="2"/>
      <c r="C29" s="2" t="s">
        <v>118</v>
      </c>
      <c r="D29" s="2" t="s">
        <v>89</v>
      </c>
      <c r="E29" s="2" t="s">
        <v>18</v>
      </c>
      <c r="F29" s="7" t="s">
        <v>119</v>
      </c>
      <c r="G29" s="2"/>
      <c r="H29" s="4" t="s">
        <v>120</v>
      </c>
      <c r="I29" s="4" t="s">
        <v>121</v>
      </c>
      <c r="J29" s="4">
        <v>402</v>
      </c>
      <c r="K29" s="4">
        <v>2040</v>
      </c>
      <c r="L29" s="5">
        <f t="shared" si="0"/>
        <v>0</v>
      </c>
      <c r="M29" s="5">
        <f t="shared" si="1"/>
        <v>0</v>
      </c>
      <c r="N29" s="5">
        <f t="shared" si="2"/>
        <v>0</v>
      </c>
      <c r="O29" s="5">
        <f t="shared" si="3"/>
        <v>0</v>
      </c>
      <c r="P29" s="2"/>
    </row>
    <row r="30" spans="1:16" ht="64">
      <c r="A30" s="3"/>
      <c r="B30" s="2"/>
      <c r="C30" s="2" t="s">
        <v>118</v>
      </c>
      <c r="D30" s="2" t="s">
        <v>89</v>
      </c>
      <c r="E30" s="2" t="s">
        <v>24</v>
      </c>
      <c r="F30" s="7" t="s">
        <v>122</v>
      </c>
      <c r="G30" s="2"/>
      <c r="H30" s="4" t="s">
        <v>123</v>
      </c>
      <c r="I30" s="4" t="s">
        <v>124</v>
      </c>
      <c r="J30" s="4">
        <v>202</v>
      </c>
      <c r="K30" s="4">
        <v>1544</v>
      </c>
      <c r="L30" s="5">
        <f t="shared" si="0"/>
        <v>0</v>
      </c>
      <c r="M30" s="5">
        <f t="shared" si="1"/>
        <v>0</v>
      </c>
      <c r="N30" s="5">
        <f t="shared" si="2"/>
        <v>0</v>
      </c>
      <c r="O30" s="5">
        <f t="shared" si="3"/>
        <v>0</v>
      </c>
      <c r="P30" s="2"/>
    </row>
    <row r="31" spans="1:16" ht="64">
      <c r="A31" s="3"/>
      <c r="B31" s="2"/>
      <c r="C31" s="2" t="s">
        <v>118</v>
      </c>
      <c r="D31" s="2" t="s">
        <v>89</v>
      </c>
      <c r="E31" s="2" t="s">
        <v>29</v>
      </c>
      <c r="F31" s="7" t="s">
        <v>125</v>
      </c>
      <c r="G31" s="2"/>
      <c r="H31" s="4" t="s">
        <v>97</v>
      </c>
      <c r="I31" s="4">
        <v>9158</v>
      </c>
      <c r="J31" s="4">
        <v>77</v>
      </c>
      <c r="K31" s="4">
        <v>1756</v>
      </c>
      <c r="L31" s="5">
        <f t="shared" si="0"/>
        <v>0</v>
      </c>
      <c r="M31" s="5">
        <f t="shared" si="1"/>
        <v>0</v>
      </c>
      <c r="N31" s="5">
        <f t="shared" si="2"/>
        <v>0</v>
      </c>
      <c r="O31" s="5">
        <f t="shared" si="3"/>
        <v>0</v>
      </c>
      <c r="P31" s="2"/>
    </row>
    <row r="32" spans="1:16" ht="64">
      <c r="A32" s="3"/>
      <c r="B32" s="2"/>
      <c r="C32" s="2" t="s">
        <v>126</v>
      </c>
      <c r="D32" s="2" t="s">
        <v>89</v>
      </c>
      <c r="E32" s="2" t="s">
        <v>18</v>
      </c>
      <c r="F32" s="7" t="s">
        <v>127</v>
      </c>
      <c r="G32" s="2"/>
      <c r="H32" s="4" t="s">
        <v>128</v>
      </c>
      <c r="I32" s="4" t="s">
        <v>129</v>
      </c>
      <c r="J32" s="4">
        <v>4162</v>
      </c>
      <c r="K32" s="4" t="s">
        <v>130</v>
      </c>
      <c r="L32" s="5">
        <f t="shared" si="0"/>
        <v>0</v>
      </c>
      <c r="M32" s="5">
        <f t="shared" si="1"/>
        <v>0</v>
      </c>
      <c r="N32" s="5">
        <f t="shared" si="2"/>
        <v>0</v>
      </c>
      <c r="O32" s="5">
        <f t="shared" si="3"/>
        <v>0</v>
      </c>
      <c r="P32" s="2"/>
    </row>
    <row r="33" spans="1:16" ht="64">
      <c r="A33" s="3"/>
      <c r="B33" s="2"/>
      <c r="C33" s="2" t="s">
        <v>126</v>
      </c>
      <c r="D33" s="2" t="s">
        <v>89</v>
      </c>
      <c r="E33" s="2" t="s">
        <v>24</v>
      </c>
      <c r="F33" s="7" t="s">
        <v>131</v>
      </c>
      <c r="G33" s="2"/>
      <c r="H33" s="4">
        <v>5200</v>
      </c>
      <c r="I33" s="4">
        <v>2512</v>
      </c>
      <c r="J33" s="4">
        <v>43</v>
      </c>
      <c r="K33" s="4">
        <v>105</v>
      </c>
      <c r="L33" s="5">
        <v>0</v>
      </c>
      <c r="M33" s="5">
        <f t="shared" si="1"/>
        <v>0.48307692307692307</v>
      </c>
      <c r="N33" s="5">
        <f t="shared" si="2"/>
        <v>8.26923076923077E-3</v>
      </c>
      <c r="O33" s="5">
        <f t="shared" si="3"/>
        <v>2.0192307692307693E-2</v>
      </c>
      <c r="P33" s="2"/>
    </row>
    <row r="34" spans="1:16" ht="64">
      <c r="A34" s="3"/>
      <c r="B34" s="2"/>
      <c r="C34" s="2" t="s">
        <v>126</v>
      </c>
      <c r="D34" s="2" t="s">
        <v>89</v>
      </c>
      <c r="E34" s="2" t="s">
        <v>29</v>
      </c>
      <c r="F34" s="7" t="s">
        <v>132</v>
      </c>
      <c r="G34" s="2"/>
      <c r="H34" s="4" t="s">
        <v>133</v>
      </c>
      <c r="I34" s="4" t="s">
        <v>134</v>
      </c>
      <c r="J34" s="4">
        <v>4278</v>
      </c>
      <c r="K34" s="4" t="s">
        <v>135</v>
      </c>
      <c r="L34" s="5">
        <f t="shared" ref="L34:L65" si="4">IFERROR((I34+J34+K34)/H34,0)</f>
        <v>0</v>
      </c>
      <c r="M34" s="5">
        <f t="shared" ref="M34:M65" si="5">IFERROR(I34/H34,0)</f>
        <v>0</v>
      </c>
      <c r="N34" s="5">
        <f t="shared" ref="N34:N65" si="6">IFERROR(J34/H34,0)</f>
        <v>0</v>
      </c>
      <c r="O34" s="5">
        <f t="shared" ref="O34:O65" si="7">IFERROR(K34/H34,0)</f>
        <v>0</v>
      </c>
      <c r="P34" s="2"/>
    </row>
    <row r="35" spans="1:16" ht="64">
      <c r="A35" s="3"/>
      <c r="B35" s="2"/>
      <c r="C35" s="2" t="s">
        <v>136</v>
      </c>
      <c r="D35" s="2" t="s">
        <v>89</v>
      </c>
      <c r="E35" s="2" t="s">
        <v>18</v>
      </c>
      <c r="F35" s="7" t="s">
        <v>137</v>
      </c>
      <c r="G35" s="2"/>
      <c r="H35" s="4">
        <v>5430</v>
      </c>
      <c r="I35" s="4">
        <v>1431</v>
      </c>
      <c r="J35" s="4">
        <v>12</v>
      </c>
      <c r="K35" s="4">
        <v>864</v>
      </c>
      <c r="L35" s="5">
        <f t="shared" si="4"/>
        <v>0.42486187845303869</v>
      </c>
      <c r="M35" s="5">
        <f t="shared" si="5"/>
        <v>0.26353591160220996</v>
      </c>
      <c r="N35" s="5">
        <f t="shared" si="6"/>
        <v>2.2099447513812156E-3</v>
      </c>
      <c r="O35" s="5">
        <f t="shared" si="7"/>
        <v>0.1591160220994475</v>
      </c>
      <c r="P35" s="2"/>
    </row>
    <row r="36" spans="1:16" ht="64">
      <c r="A36" s="3"/>
      <c r="B36" s="2"/>
      <c r="C36" s="2" t="s">
        <v>136</v>
      </c>
      <c r="D36" s="2" t="s">
        <v>89</v>
      </c>
      <c r="E36" s="2" t="s">
        <v>24</v>
      </c>
      <c r="F36" s="7" t="s">
        <v>138</v>
      </c>
      <c r="G36" s="2"/>
      <c r="H36" s="4" t="s">
        <v>100</v>
      </c>
      <c r="I36" s="4" t="s">
        <v>139</v>
      </c>
      <c r="J36" s="4">
        <v>121</v>
      </c>
      <c r="K36" s="4">
        <v>4089</v>
      </c>
      <c r="L36" s="5">
        <f t="shared" si="4"/>
        <v>0</v>
      </c>
      <c r="M36" s="5">
        <f t="shared" si="5"/>
        <v>0</v>
      </c>
      <c r="N36" s="5">
        <f t="shared" si="6"/>
        <v>0</v>
      </c>
      <c r="O36" s="5">
        <f t="shared" si="7"/>
        <v>0</v>
      </c>
      <c r="P36" s="2"/>
    </row>
    <row r="37" spans="1:16" ht="64">
      <c r="A37" s="3"/>
      <c r="B37" s="2"/>
      <c r="C37" s="2" t="s">
        <v>136</v>
      </c>
      <c r="D37" s="2" t="s">
        <v>89</v>
      </c>
      <c r="E37" s="2" t="s">
        <v>29</v>
      </c>
      <c r="F37" s="7" t="s">
        <v>140</v>
      </c>
      <c r="G37" s="2"/>
      <c r="H37" s="4">
        <v>567</v>
      </c>
      <c r="I37" s="4">
        <v>283</v>
      </c>
      <c r="J37" s="4">
        <v>9</v>
      </c>
      <c r="K37" s="4">
        <v>172</v>
      </c>
      <c r="L37" s="5">
        <f t="shared" si="4"/>
        <v>0.81834215167548496</v>
      </c>
      <c r="M37" s="5">
        <f t="shared" si="5"/>
        <v>0.49911816578483242</v>
      </c>
      <c r="N37" s="5">
        <f t="shared" si="6"/>
        <v>1.5873015873015872E-2</v>
      </c>
      <c r="O37" s="5">
        <f t="shared" si="7"/>
        <v>0.30335097001763667</v>
      </c>
      <c r="P37" s="2"/>
    </row>
    <row r="38" spans="1:16" ht="64">
      <c r="A38" s="3"/>
      <c r="B38" s="2"/>
      <c r="C38" s="2" t="s">
        <v>141</v>
      </c>
      <c r="D38" s="2" t="s">
        <v>89</v>
      </c>
      <c r="E38" s="2" t="s">
        <v>18</v>
      </c>
      <c r="F38" s="7" t="s">
        <v>142</v>
      </c>
      <c r="G38" s="2"/>
      <c r="H38" s="4">
        <v>1010</v>
      </c>
      <c r="I38" s="4">
        <v>551</v>
      </c>
      <c r="J38" s="4">
        <v>3</v>
      </c>
      <c r="K38" s="4">
        <v>96</v>
      </c>
      <c r="L38" s="5">
        <f t="shared" si="4"/>
        <v>0.64356435643564358</v>
      </c>
      <c r="M38" s="5">
        <f t="shared" si="5"/>
        <v>0.54554455445544559</v>
      </c>
      <c r="N38" s="5">
        <f t="shared" si="6"/>
        <v>2.9702970297029703E-3</v>
      </c>
      <c r="O38" s="5">
        <f t="shared" si="7"/>
        <v>9.5049504950495051E-2</v>
      </c>
      <c r="P38" s="2"/>
    </row>
    <row r="39" spans="1:16" ht="64">
      <c r="A39" s="3"/>
      <c r="B39" s="2"/>
      <c r="C39" s="2" t="s">
        <v>141</v>
      </c>
      <c r="D39" s="2" t="s">
        <v>89</v>
      </c>
      <c r="E39" s="2" t="s">
        <v>24</v>
      </c>
      <c r="F39" s="7" t="s">
        <v>143</v>
      </c>
      <c r="G39" s="2"/>
      <c r="H39" s="4" t="s">
        <v>144</v>
      </c>
      <c r="I39" s="4" t="s">
        <v>145</v>
      </c>
      <c r="J39" s="4">
        <v>407</v>
      </c>
      <c r="K39" s="4">
        <v>9439</v>
      </c>
      <c r="L39" s="5">
        <f t="shared" si="4"/>
        <v>0</v>
      </c>
      <c r="M39" s="5">
        <f t="shared" si="5"/>
        <v>0</v>
      </c>
      <c r="N39" s="5">
        <f t="shared" si="6"/>
        <v>0</v>
      </c>
      <c r="O39" s="5">
        <f t="shared" si="7"/>
        <v>0</v>
      </c>
      <c r="P39" s="2"/>
    </row>
    <row r="40" spans="1:16" ht="64">
      <c r="A40" s="3"/>
      <c r="B40" s="2"/>
      <c r="C40" s="2" t="s">
        <v>141</v>
      </c>
      <c r="D40" s="2" t="s">
        <v>89</v>
      </c>
      <c r="E40" s="2" t="s">
        <v>29</v>
      </c>
      <c r="F40" s="7" t="s">
        <v>146</v>
      </c>
      <c r="G40" s="2"/>
      <c r="H40" s="4" t="s">
        <v>147</v>
      </c>
      <c r="I40" s="4" t="s">
        <v>31</v>
      </c>
      <c r="J40" s="4">
        <v>471</v>
      </c>
      <c r="K40" s="4">
        <v>6785</v>
      </c>
      <c r="L40" s="5">
        <f t="shared" si="4"/>
        <v>0</v>
      </c>
      <c r="M40" s="5">
        <f t="shared" si="5"/>
        <v>0</v>
      </c>
      <c r="N40" s="5">
        <f t="shared" si="6"/>
        <v>0</v>
      </c>
      <c r="O40" s="5">
        <f t="shared" si="7"/>
        <v>0</v>
      </c>
      <c r="P40" s="2"/>
    </row>
    <row r="41" spans="1:16" ht="64">
      <c r="A41" s="3"/>
      <c r="B41" s="2"/>
      <c r="C41" s="2" t="s">
        <v>148</v>
      </c>
      <c r="D41" s="2" t="s">
        <v>89</v>
      </c>
      <c r="E41" s="2" t="s">
        <v>18</v>
      </c>
      <c r="F41" s="7" t="s">
        <v>149</v>
      </c>
      <c r="G41" s="2"/>
      <c r="H41" s="4" t="s">
        <v>110</v>
      </c>
      <c r="I41" s="4" t="s">
        <v>150</v>
      </c>
      <c r="J41" s="4">
        <v>156</v>
      </c>
      <c r="K41" s="4" t="s">
        <v>151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0</v>
      </c>
      <c r="P41" s="2"/>
    </row>
    <row r="42" spans="1:16" ht="64">
      <c r="A42" s="3"/>
      <c r="B42" s="2"/>
      <c r="C42" s="2" t="s">
        <v>148</v>
      </c>
      <c r="D42" s="2" t="s">
        <v>89</v>
      </c>
      <c r="E42" s="2" t="s">
        <v>24</v>
      </c>
      <c r="F42" s="7" t="s">
        <v>152</v>
      </c>
      <c r="G42" s="2"/>
      <c r="H42" s="4" t="s">
        <v>153</v>
      </c>
      <c r="I42" s="4" t="s">
        <v>154</v>
      </c>
      <c r="J42" s="4">
        <v>2107</v>
      </c>
      <c r="K42" s="4" t="s">
        <v>107</v>
      </c>
      <c r="L42" s="5">
        <f t="shared" si="4"/>
        <v>0</v>
      </c>
      <c r="M42" s="5">
        <f t="shared" si="5"/>
        <v>0</v>
      </c>
      <c r="N42" s="5">
        <f t="shared" si="6"/>
        <v>0</v>
      </c>
      <c r="O42" s="5">
        <f t="shared" si="7"/>
        <v>0</v>
      </c>
      <c r="P42" s="2"/>
    </row>
    <row r="43" spans="1:16" ht="64">
      <c r="A43" s="3"/>
      <c r="B43" s="2"/>
      <c r="C43" s="2" t="s">
        <v>148</v>
      </c>
      <c r="D43" s="2" t="s">
        <v>89</v>
      </c>
      <c r="E43" s="2" t="s">
        <v>29</v>
      </c>
      <c r="F43" s="7" t="s">
        <v>155</v>
      </c>
      <c r="G43" s="2"/>
      <c r="H43" s="4" t="s">
        <v>156</v>
      </c>
      <c r="I43" s="4" t="s">
        <v>157</v>
      </c>
      <c r="J43" s="4">
        <v>642</v>
      </c>
      <c r="K43" s="4">
        <v>3789</v>
      </c>
      <c r="L43" s="5">
        <f t="shared" si="4"/>
        <v>0</v>
      </c>
      <c r="M43" s="5">
        <f t="shared" si="5"/>
        <v>0</v>
      </c>
      <c r="N43" s="5">
        <f t="shared" si="6"/>
        <v>0</v>
      </c>
      <c r="O43" s="5">
        <f t="shared" si="7"/>
        <v>0</v>
      </c>
      <c r="P43" s="2"/>
    </row>
    <row r="44" spans="1:16" ht="64">
      <c r="A44" s="3"/>
      <c r="B44" s="2"/>
      <c r="C44" s="2" t="s">
        <v>158</v>
      </c>
      <c r="D44" s="2" t="s">
        <v>89</v>
      </c>
      <c r="E44" s="2" t="s">
        <v>18</v>
      </c>
      <c r="F44" s="7" t="s">
        <v>159</v>
      </c>
      <c r="G44" s="2"/>
      <c r="H44" s="4">
        <v>1987</v>
      </c>
      <c r="I44" s="4">
        <v>898</v>
      </c>
      <c r="J44" s="4">
        <v>37</v>
      </c>
      <c r="K44" s="4">
        <v>126</v>
      </c>
      <c r="L44" s="5">
        <f t="shared" si="4"/>
        <v>0.53397081026673376</v>
      </c>
      <c r="M44" s="5">
        <f t="shared" si="5"/>
        <v>0.45193759436336184</v>
      </c>
      <c r="N44" s="5">
        <f t="shared" si="6"/>
        <v>1.8621036738802214E-2</v>
      </c>
      <c r="O44" s="5">
        <f t="shared" si="7"/>
        <v>6.3412179164569704E-2</v>
      </c>
      <c r="P44" s="2"/>
    </row>
    <row r="45" spans="1:16" ht="64">
      <c r="A45" s="3"/>
      <c r="B45" s="2"/>
      <c r="C45" s="2" t="s">
        <v>158</v>
      </c>
      <c r="D45" s="2" t="s">
        <v>89</v>
      </c>
      <c r="E45" s="2" t="s">
        <v>24</v>
      </c>
      <c r="F45" s="7" t="s">
        <v>160</v>
      </c>
      <c r="G45" s="2"/>
      <c r="H45" s="4" t="s">
        <v>161</v>
      </c>
      <c r="I45" s="4" t="s">
        <v>162</v>
      </c>
      <c r="J45" s="4">
        <v>150</v>
      </c>
      <c r="K45" s="4">
        <v>1230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0</v>
      </c>
      <c r="P45" s="2"/>
    </row>
    <row r="46" spans="1:16" ht="64">
      <c r="A46" s="3"/>
      <c r="B46" s="2"/>
      <c r="C46" s="2" t="s">
        <v>158</v>
      </c>
      <c r="D46" s="2" t="s">
        <v>89</v>
      </c>
      <c r="E46" s="2" t="s">
        <v>29</v>
      </c>
      <c r="F46" s="7" t="s">
        <v>163</v>
      </c>
      <c r="G46" s="2"/>
      <c r="H46" s="4">
        <v>7777</v>
      </c>
      <c r="I46" s="4">
        <v>5207</v>
      </c>
      <c r="J46" s="4">
        <v>159</v>
      </c>
      <c r="K46" s="4">
        <v>508</v>
      </c>
      <c r="L46" s="5">
        <f t="shared" si="4"/>
        <v>0.75530410183875529</v>
      </c>
      <c r="M46" s="5">
        <f t="shared" si="5"/>
        <v>0.66953838240966956</v>
      </c>
      <c r="N46" s="5">
        <f t="shared" si="6"/>
        <v>2.0444901633020447E-2</v>
      </c>
      <c r="O46" s="5">
        <f t="shared" si="7"/>
        <v>6.5320817796065314E-2</v>
      </c>
      <c r="P46" s="2"/>
    </row>
    <row r="47" spans="1:16" ht="64">
      <c r="A47" s="3"/>
      <c r="B47" s="2"/>
      <c r="C47" s="2" t="s">
        <v>164</v>
      </c>
      <c r="D47" s="2" t="s">
        <v>165</v>
      </c>
      <c r="E47" s="2" t="s">
        <v>18</v>
      </c>
      <c r="F47" s="7" t="s">
        <v>261</v>
      </c>
      <c r="G47" s="2"/>
      <c r="H47" s="4" t="s">
        <v>264</v>
      </c>
      <c r="I47" s="4" t="s">
        <v>262</v>
      </c>
      <c r="J47" s="4">
        <v>350</v>
      </c>
      <c r="K47" s="4" t="s">
        <v>263</v>
      </c>
      <c r="L47" s="5">
        <f t="shared" si="4"/>
        <v>0</v>
      </c>
      <c r="M47" s="5">
        <f t="shared" si="5"/>
        <v>0</v>
      </c>
      <c r="N47" s="5">
        <f t="shared" si="6"/>
        <v>0</v>
      </c>
      <c r="O47" s="5">
        <f t="shared" si="7"/>
        <v>0</v>
      </c>
      <c r="P47" s="2"/>
    </row>
    <row r="48" spans="1:16" ht="64">
      <c r="A48" s="3"/>
      <c r="B48" s="2"/>
      <c r="C48" s="2" t="s">
        <v>164</v>
      </c>
      <c r="D48" s="2" t="s">
        <v>165</v>
      </c>
      <c r="E48" s="2" t="s">
        <v>24</v>
      </c>
      <c r="F48" s="7" t="s">
        <v>266</v>
      </c>
      <c r="G48" s="2"/>
      <c r="H48" s="4" t="s">
        <v>267</v>
      </c>
      <c r="I48" s="4" t="s">
        <v>265</v>
      </c>
      <c r="J48" s="4">
        <v>2075</v>
      </c>
      <c r="K48" s="4"/>
      <c r="L48" s="5">
        <f t="shared" si="4"/>
        <v>0</v>
      </c>
      <c r="M48" s="5">
        <f t="shared" si="5"/>
        <v>0</v>
      </c>
      <c r="N48" s="5">
        <f t="shared" si="6"/>
        <v>0</v>
      </c>
      <c r="O48" s="5">
        <f t="shared" si="7"/>
        <v>0</v>
      </c>
      <c r="P48" s="2"/>
    </row>
    <row r="49" spans="1:16" ht="64">
      <c r="A49" s="3"/>
      <c r="B49" s="2"/>
      <c r="C49" s="2" t="s">
        <v>164</v>
      </c>
      <c r="D49" s="2" t="s">
        <v>165</v>
      </c>
      <c r="E49" s="2" t="s">
        <v>29</v>
      </c>
      <c r="F49" s="7" t="s">
        <v>268</v>
      </c>
      <c r="G49" s="2"/>
      <c r="H49" s="4"/>
      <c r="I49" s="4" t="s">
        <v>269</v>
      </c>
      <c r="J49" s="4">
        <v>150</v>
      </c>
      <c r="K49" s="4">
        <v>7988</v>
      </c>
      <c r="L49" s="5">
        <f t="shared" si="4"/>
        <v>0</v>
      </c>
      <c r="M49" s="5">
        <f t="shared" si="5"/>
        <v>0</v>
      </c>
      <c r="N49" s="5">
        <f t="shared" si="6"/>
        <v>0</v>
      </c>
      <c r="O49" s="5">
        <f t="shared" si="7"/>
        <v>0</v>
      </c>
      <c r="P49" s="2"/>
    </row>
    <row r="50" spans="1:16" ht="48">
      <c r="A50" s="3"/>
      <c r="B50" s="2"/>
      <c r="C50" s="2" t="s">
        <v>166</v>
      </c>
      <c r="D50" s="2" t="s">
        <v>165</v>
      </c>
      <c r="E50" s="2" t="s">
        <v>18</v>
      </c>
      <c r="F50" s="7" t="s">
        <v>253</v>
      </c>
      <c r="G50" s="2"/>
      <c r="H50" s="4" t="s">
        <v>254</v>
      </c>
      <c r="I50" s="4" t="s">
        <v>255</v>
      </c>
      <c r="J50" s="4">
        <v>212</v>
      </c>
      <c r="K50" s="4">
        <v>4021</v>
      </c>
      <c r="L50" s="5">
        <f t="shared" si="4"/>
        <v>0</v>
      </c>
      <c r="M50" s="5">
        <f t="shared" si="5"/>
        <v>0</v>
      </c>
      <c r="N50" s="5">
        <f t="shared" si="6"/>
        <v>0</v>
      </c>
      <c r="O50" s="5">
        <f t="shared" si="7"/>
        <v>0</v>
      </c>
      <c r="P50" s="2"/>
    </row>
    <row r="51" spans="1:16" ht="48">
      <c r="A51" s="3"/>
      <c r="B51" s="2"/>
      <c r="C51" s="2" t="s">
        <v>166</v>
      </c>
      <c r="D51" s="2" t="s">
        <v>165</v>
      </c>
      <c r="E51" s="2" t="s">
        <v>24</v>
      </c>
      <c r="F51" s="7" t="s">
        <v>256</v>
      </c>
      <c r="G51" s="2"/>
      <c r="H51" s="4">
        <v>3245</v>
      </c>
      <c r="I51" s="4">
        <v>2328</v>
      </c>
      <c r="J51" s="4">
        <v>6</v>
      </c>
      <c r="K51" s="4">
        <v>166</v>
      </c>
      <c r="L51" s="5">
        <f t="shared" si="4"/>
        <v>0.77041602465331283</v>
      </c>
      <c r="M51" s="5">
        <f t="shared" si="5"/>
        <v>0.71741140215716492</v>
      </c>
      <c r="N51" s="5">
        <f t="shared" si="6"/>
        <v>1.8489984591679508E-3</v>
      </c>
      <c r="O51" s="5">
        <f t="shared" si="7"/>
        <v>5.1155624036979971E-2</v>
      </c>
      <c r="P51" s="2"/>
    </row>
    <row r="52" spans="1:16" ht="48">
      <c r="A52" s="3"/>
      <c r="B52" s="2"/>
      <c r="C52" s="2" t="s">
        <v>166</v>
      </c>
      <c r="D52" s="2" t="s">
        <v>165</v>
      </c>
      <c r="E52" s="2" t="s">
        <v>29</v>
      </c>
      <c r="F52" s="7" t="s">
        <v>257</v>
      </c>
      <c r="G52" s="2"/>
      <c r="H52" s="4" t="s">
        <v>258</v>
      </c>
      <c r="I52" s="4" t="s">
        <v>259</v>
      </c>
      <c r="J52" s="4">
        <v>1692</v>
      </c>
      <c r="K52" s="4" t="s">
        <v>260</v>
      </c>
      <c r="L52" s="5">
        <f t="shared" si="4"/>
        <v>0</v>
      </c>
      <c r="M52" s="5">
        <f t="shared" si="5"/>
        <v>0</v>
      </c>
      <c r="N52" s="5">
        <f t="shared" si="6"/>
        <v>0</v>
      </c>
      <c r="O52" s="5">
        <f t="shared" si="7"/>
        <v>0</v>
      </c>
      <c r="P52" s="2"/>
    </row>
    <row r="53" spans="1:16" ht="48">
      <c r="A53" s="3"/>
      <c r="B53" s="2"/>
      <c r="C53" s="2" t="s">
        <v>167</v>
      </c>
      <c r="D53" s="2" t="s">
        <v>165</v>
      </c>
      <c r="E53" s="2" t="s">
        <v>18</v>
      </c>
      <c r="F53" s="7" t="s">
        <v>252</v>
      </c>
      <c r="G53" s="2"/>
      <c r="H53" s="4">
        <v>7062</v>
      </c>
      <c r="I53" s="4">
        <v>5000</v>
      </c>
      <c r="J53" s="4">
        <v>4632</v>
      </c>
      <c r="K53" s="4">
        <v>172</v>
      </c>
      <c r="L53" s="5">
        <f t="shared" si="4"/>
        <v>1.3882752761257433</v>
      </c>
      <c r="M53" s="5">
        <f t="shared" si="5"/>
        <v>0.70801472670631549</v>
      </c>
      <c r="N53" s="5">
        <f t="shared" si="6"/>
        <v>0.65590484282073069</v>
      </c>
      <c r="O53" s="5">
        <f t="shared" si="7"/>
        <v>2.4355706598697253E-2</v>
      </c>
      <c r="P53" s="2"/>
    </row>
    <row r="54" spans="1:16" ht="48">
      <c r="A54" s="3"/>
      <c r="B54" s="2"/>
      <c r="C54" s="2" t="s">
        <v>167</v>
      </c>
      <c r="D54" s="2" t="s">
        <v>165</v>
      </c>
      <c r="E54" s="2" t="s">
        <v>24</v>
      </c>
      <c r="F54" s="7" t="s">
        <v>249</v>
      </c>
      <c r="G54" s="2"/>
      <c r="H54" s="4" t="s">
        <v>43</v>
      </c>
      <c r="I54" s="4" t="s">
        <v>250</v>
      </c>
      <c r="J54" s="4">
        <v>1690</v>
      </c>
      <c r="K54" s="4" t="s">
        <v>251</v>
      </c>
      <c r="L54" s="5">
        <f t="shared" si="4"/>
        <v>0</v>
      </c>
      <c r="M54" s="5">
        <f t="shared" si="5"/>
        <v>0</v>
      </c>
      <c r="N54" s="5">
        <f t="shared" si="6"/>
        <v>0</v>
      </c>
      <c r="O54" s="5">
        <f t="shared" si="7"/>
        <v>0</v>
      </c>
      <c r="P54" s="2"/>
    </row>
    <row r="55" spans="1:16" ht="48">
      <c r="A55" s="3"/>
      <c r="B55" s="2"/>
      <c r="C55" s="2" t="s">
        <v>167</v>
      </c>
      <c r="D55" s="2" t="s">
        <v>165</v>
      </c>
      <c r="E55" s="2" t="s">
        <v>29</v>
      </c>
      <c r="F55" s="7" t="s">
        <v>247</v>
      </c>
      <c r="G55" s="2"/>
      <c r="H55" s="4" t="s">
        <v>91</v>
      </c>
      <c r="I55" s="4" t="s">
        <v>248</v>
      </c>
      <c r="J55" s="4">
        <v>270</v>
      </c>
      <c r="K55" s="4" t="s">
        <v>120</v>
      </c>
      <c r="L55" s="5">
        <f t="shared" si="4"/>
        <v>0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2"/>
    </row>
    <row r="56" spans="1:16" ht="48">
      <c r="A56" s="3"/>
      <c r="B56" s="2"/>
      <c r="C56" s="2" t="s">
        <v>168</v>
      </c>
      <c r="D56" s="2" t="s">
        <v>169</v>
      </c>
      <c r="E56" s="2" t="s">
        <v>18</v>
      </c>
      <c r="F56" s="7" t="s">
        <v>170</v>
      </c>
      <c r="G56" s="2"/>
      <c r="H56" s="4" t="s">
        <v>91</v>
      </c>
      <c r="I56" s="4" t="s">
        <v>171</v>
      </c>
      <c r="J56" s="4">
        <v>836</v>
      </c>
      <c r="K56" s="4" t="s">
        <v>172</v>
      </c>
      <c r="L56" s="5">
        <f t="shared" si="4"/>
        <v>0</v>
      </c>
      <c r="M56" s="5">
        <f t="shared" si="5"/>
        <v>0</v>
      </c>
      <c r="N56" s="5">
        <f t="shared" si="6"/>
        <v>0</v>
      </c>
      <c r="O56" s="5">
        <f t="shared" si="7"/>
        <v>0</v>
      </c>
      <c r="P56" s="2"/>
    </row>
    <row r="57" spans="1:16" ht="48">
      <c r="A57" s="3"/>
      <c r="B57" s="2"/>
      <c r="C57" s="2" t="s">
        <v>168</v>
      </c>
      <c r="D57" s="2" t="s">
        <v>169</v>
      </c>
      <c r="E57" s="2" t="s">
        <v>24</v>
      </c>
      <c r="F57" s="7" t="s">
        <v>173</v>
      </c>
      <c r="G57" s="2"/>
      <c r="H57" s="4">
        <v>5088</v>
      </c>
      <c r="I57" s="4">
        <v>2824</v>
      </c>
      <c r="J57" s="4">
        <v>19</v>
      </c>
      <c r="K57" s="4">
        <v>369</v>
      </c>
      <c r="L57" s="5">
        <f t="shared" si="4"/>
        <v>0.63128930817610063</v>
      </c>
      <c r="M57" s="5">
        <f t="shared" si="5"/>
        <v>0.55503144654088055</v>
      </c>
      <c r="N57" s="5">
        <f t="shared" si="6"/>
        <v>3.7342767295597485E-3</v>
      </c>
      <c r="O57" s="5">
        <f t="shared" si="7"/>
        <v>7.2523584905660382E-2</v>
      </c>
      <c r="P57" s="2"/>
    </row>
    <row r="58" spans="1:16" ht="48">
      <c r="A58" s="3"/>
      <c r="B58" s="2"/>
      <c r="C58" s="2" t="s">
        <v>168</v>
      </c>
      <c r="D58" s="2" t="s">
        <v>169</v>
      </c>
      <c r="E58" s="2" t="s">
        <v>29</v>
      </c>
      <c r="F58" s="7" t="s">
        <v>173</v>
      </c>
      <c r="G58" s="2"/>
      <c r="H58" s="4">
        <v>3000</v>
      </c>
      <c r="I58" s="4">
        <v>2829</v>
      </c>
      <c r="J58" s="4">
        <v>191</v>
      </c>
      <c r="K58" s="4">
        <v>418</v>
      </c>
      <c r="L58" s="5">
        <f t="shared" si="4"/>
        <v>1.1459999999999999</v>
      </c>
      <c r="M58" s="5">
        <f t="shared" si="5"/>
        <v>0.94299999999999995</v>
      </c>
      <c r="N58" s="5">
        <f t="shared" si="6"/>
        <v>6.3666666666666663E-2</v>
      </c>
      <c r="O58" s="5">
        <f t="shared" si="7"/>
        <v>0.13933333333333334</v>
      </c>
      <c r="P58" s="2"/>
    </row>
    <row r="59" spans="1:16" ht="48">
      <c r="A59" s="3"/>
      <c r="B59" s="2"/>
      <c r="C59" s="2" t="s">
        <v>174</v>
      </c>
      <c r="D59" s="2" t="s">
        <v>169</v>
      </c>
      <c r="E59" s="2" t="s">
        <v>18</v>
      </c>
      <c r="F59" s="7" t="s">
        <v>175</v>
      </c>
      <c r="G59" s="2"/>
      <c r="H59" s="4" t="s">
        <v>43</v>
      </c>
      <c r="I59" s="4" t="s">
        <v>176</v>
      </c>
      <c r="J59" s="4">
        <v>1397</v>
      </c>
      <c r="K59" s="4" t="s">
        <v>177</v>
      </c>
      <c r="L59" s="5">
        <f t="shared" si="4"/>
        <v>0</v>
      </c>
      <c r="M59" s="5">
        <f t="shared" si="5"/>
        <v>0</v>
      </c>
      <c r="N59" s="5">
        <f t="shared" si="6"/>
        <v>0</v>
      </c>
      <c r="O59" s="5">
        <f t="shared" si="7"/>
        <v>0</v>
      </c>
      <c r="P59" s="2"/>
    </row>
    <row r="60" spans="1:16" ht="48">
      <c r="A60" s="3"/>
      <c r="B60" s="2"/>
      <c r="C60" s="2" t="s">
        <v>174</v>
      </c>
      <c r="D60" s="2" t="s">
        <v>169</v>
      </c>
      <c r="E60" s="2" t="s">
        <v>24</v>
      </c>
      <c r="F60" s="7" t="s">
        <v>178</v>
      </c>
      <c r="G60" s="2"/>
      <c r="H60" s="4" t="s">
        <v>179</v>
      </c>
      <c r="I60" s="4" t="s">
        <v>180</v>
      </c>
      <c r="J60" s="4">
        <v>1978</v>
      </c>
      <c r="K60" s="4" t="s">
        <v>181</v>
      </c>
      <c r="L60" s="5">
        <f t="shared" si="4"/>
        <v>0</v>
      </c>
      <c r="M60" s="5">
        <f t="shared" si="5"/>
        <v>0</v>
      </c>
      <c r="N60" s="5">
        <f t="shared" si="6"/>
        <v>0</v>
      </c>
      <c r="O60" s="5">
        <f t="shared" si="7"/>
        <v>0</v>
      </c>
      <c r="P60" s="2"/>
    </row>
    <row r="61" spans="1:16" ht="48">
      <c r="A61" s="3"/>
      <c r="B61" s="2"/>
      <c r="C61" s="2" t="s">
        <v>174</v>
      </c>
      <c r="D61" s="2" t="s">
        <v>169</v>
      </c>
      <c r="E61" s="2" t="s">
        <v>29</v>
      </c>
      <c r="F61" s="7" t="s">
        <v>182</v>
      </c>
      <c r="G61" s="2"/>
      <c r="H61" s="4" t="s">
        <v>183</v>
      </c>
      <c r="I61" s="4" t="s">
        <v>184</v>
      </c>
      <c r="J61" s="4">
        <v>209</v>
      </c>
      <c r="K61" s="4">
        <v>6112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0</v>
      </c>
      <c r="P61" s="2"/>
    </row>
    <row r="62" spans="1:16" ht="48">
      <c r="A62" s="3"/>
      <c r="B62" s="2"/>
      <c r="C62" s="2" t="s">
        <v>185</v>
      </c>
      <c r="D62" s="2" t="s">
        <v>169</v>
      </c>
      <c r="E62" s="2" t="s">
        <v>18</v>
      </c>
      <c r="F62" s="7" t="s">
        <v>186</v>
      </c>
      <c r="G62" s="2"/>
      <c r="H62" s="4">
        <v>7098</v>
      </c>
      <c r="I62" s="4">
        <v>6287</v>
      </c>
      <c r="J62" s="4">
        <v>102</v>
      </c>
      <c r="K62" s="4">
        <v>2325</v>
      </c>
      <c r="L62" s="5">
        <f t="shared" si="4"/>
        <v>1.2276697661313045</v>
      </c>
      <c r="M62" s="5">
        <f t="shared" si="5"/>
        <v>0.88574246266553958</v>
      </c>
      <c r="N62" s="5">
        <f t="shared" si="6"/>
        <v>1.4370245139475908E-2</v>
      </c>
      <c r="O62" s="5">
        <f t="shared" si="7"/>
        <v>0.32755705832628912</v>
      </c>
      <c r="P62" s="2"/>
    </row>
    <row r="63" spans="1:16" ht="48">
      <c r="A63" s="3"/>
      <c r="B63" s="2"/>
      <c r="C63" s="2" t="s">
        <v>185</v>
      </c>
      <c r="D63" s="2" t="s">
        <v>169</v>
      </c>
      <c r="E63" s="2" t="s">
        <v>24</v>
      </c>
      <c r="F63" s="7" t="s">
        <v>187</v>
      </c>
      <c r="G63" s="2"/>
      <c r="H63" s="4" t="s">
        <v>188</v>
      </c>
      <c r="I63" s="4" t="s">
        <v>189</v>
      </c>
      <c r="J63" s="4">
        <v>149</v>
      </c>
      <c r="K63" s="4" t="s">
        <v>190</v>
      </c>
      <c r="L63" s="5">
        <f t="shared" si="4"/>
        <v>0</v>
      </c>
      <c r="M63" s="5">
        <f t="shared" si="5"/>
        <v>0</v>
      </c>
      <c r="N63" s="5">
        <f t="shared" si="6"/>
        <v>0</v>
      </c>
      <c r="O63" s="5">
        <f t="shared" si="7"/>
        <v>0</v>
      </c>
      <c r="P63" s="2"/>
    </row>
    <row r="64" spans="1:16" ht="48">
      <c r="A64" s="3"/>
      <c r="B64" s="2"/>
      <c r="C64" s="2" t="s">
        <v>185</v>
      </c>
      <c r="D64" s="2" t="s">
        <v>169</v>
      </c>
      <c r="E64" s="2" t="s">
        <v>29</v>
      </c>
      <c r="F64" s="7" t="s">
        <v>191</v>
      </c>
      <c r="G64" s="2"/>
      <c r="H64" s="4">
        <v>5028</v>
      </c>
      <c r="I64" s="4">
        <v>3332</v>
      </c>
      <c r="J64" s="4">
        <v>22</v>
      </c>
      <c r="K64" s="4">
        <v>538</v>
      </c>
      <c r="L64" s="5">
        <f t="shared" si="4"/>
        <v>0.77406523468575972</v>
      </c>
      <c r="M64" s="5">
        <f t="shared" si="5"/>
        <v>0.66268894192521877</v>
      </c>
      <c r="N64" s="5">
        <f t="shared" si="6"/>
        <v>4.3754972155926808E-3</v>
      </c>
      <c r="O64" s="5">
        <f t="shared" si="7"/>
        <v>0.10700079554494829</v>
      </c>
      <c r="P64" s="2"/>
    </row>
    <row r="65" spans="1:16" ht="48">
      <c r="A65" s="3"/>
      <c r="B65" s="2"/>
      <c r="C65" s="2" t="s">
        <v>192</v>
      </c>
      <c r="D65" s="2" t="s">
        <v>193</v>
      </c>
      <c r="E65" s="2" t="s">
        <v>18</v>
      </c>
      <c r="F65" s="7" t="s">
        <v>194</v>
      </c>
      <c r="G65" s="2"/>
      <c r="H65" s="4" t="s">
        <v>195</v>
      </c>
      <c r="I65" s="4" t="s">
        <v>196</v>
      </c>
      <c r="J65" s="4" t="s">
        <v>197</v>
      </c>
      <c r="K65" s="4" t="s">
        <v>198</v>
      </c>
      <c r="L65" s="5">
        <f t="shared" si="4"/>
        <v>0</v>
      </c>
      <c r="M65" s="5">
        <f t="shared" si="5"/>
        <v>0</v>
      </c>
      <c r="N65" s="5">
        <f t="shared" si="6"/>
        <v>0</v>
      </c>
      <c r="O65" s="5">
        <f t="shared" si="7"/>
        <v>0</v>
      </c>
      <c r="P65" s="2"/>
    </row>
    <row r="66" spans="1:16" ht="48">
      <c r="A66" s="3"/>
      <c r="B66" s="2"/>
      <c r="C66" s="2" t="s">
        <v>192</v>
      </c>
      <c r="D66" s="2" t="s">
        <v>193</v>
      </c>
      <c r="E66" s="2" t="s">
        <v>24</v>
      </c>
      <c r="F66" s="7" t="s">
        <v>199</v>
      </c>
      <c r="G66" s="2"/>
      <c r="H66" s="4" t="s">
        <v>200</v>
      </c>
      <c r="I66" s="4" t="s">
        <v>201</v>
      </c>
      <c r="J66" s="4">
        <v>404</v>
      </c>
      <c r="K66" s="4">
        <v>7205</v>
      </c>
      <c r="L66" s="5">
        <f t="shared" ref="L66:L73" si="8">IFERROR((I66+J66+K66)/H66,0)</f>
        <v>0</v>
      </c>
      <c r="M66" s="5">
        <f t="shared" ref="M66:M73" si="9">IFERROR(I66/H66,0)</f>
        <v>0</v>
      </c>
      <c r="N66" s="5">
        <f t="shared" ref="N66:N73" si="10">IFERROR(J66/H66,0)</f>
        <v>0</v>
      </c>
      <c r="O66" s="5">
        <f t="shared" ref="O66:O73" si="11">IFERROR(K66/H66,0)</f>
        <v>0</v>
      </c>
      <c r="P66" s="2"/>
    </row>
    <row r="67" spans="1:16" ht="48">
      <c r="A67" s="3"/>
      <c r="B67" s="2"/>
      <c r="C67" s="2" t="s">
        <v>192</v>
      </c>
      <c r="D67" s="2" t="s">
        <v>193</v>
      </c>
      <c r="E67" s="2" t="s">
        <v>29</v>
      </c>
      <c r="F67" s="7" t="s">
        <v>202</v>
      </c>
      <c r="G67" s="2"/>
      <c r="H67" s="4" t="s">
        <v>203</v>
      </c>
      <c r="I67" s="4" t="s">
        <v>204</v>
      </c>
      <c r="J67" s="4">
        <v>652</v>
      </c>
      <c r="K67" s="4" t="s">
        <v>205</v>
      </c>
      <c r="L67" s="5">
        <f t="shared" si="8"/>
        <v>0</v>
      </c>
      <c r="M67" s="5">
        <f t="shared" si="9"/>
        <v>0</v>
      </c>
      <c r="N67" s="5">
        <f t="shared" si="10"/>
        <v>0</v>
      </c>
      <c r="O67" s="5">
        <f t="shared" si="11"/>
        <v>0</v>
      </c>
      <c r="P67" s="2"/>
    </row>
    <row r="68" spans="1:16" ht="48">
      <c r="A68" s="3"/>
      <c r="B68" s="2"/>
      <c r="C68" s="2" t="s">
        <v>206</v>
      </c>
      <c r="D68" s="2" t="s">
        <v>193</v>
      </c>
      <c r="E68" s="2" t="s">
        <v>18</v>
      </c>
      <c r="F68" s="7" t="s">
        <v>207</v>
      </c>
      <c r="G68" s="2"/>
      <c r="H68" s="4" t="s">
        <v>208</v>
      </c>
      <c r="I68" s="4" t="s">
        <v>209</v>
      </c>
      <c r="J68" s="4">
        <v>117</v>
      </c>
      <c r="K68" s="4">
        <v>2257</v>
      </c>
      <c r="L68" s="5">
        <f t="shared" si="8"/>
        <v>0</v>
      </c>
      <c r="M68" s="5">
        <f t="shared" si="9"/>
        <v>0</v>
      </c>
      <c r="N68" s="5">
        <f t="shared" si="10"/>
        <v>0</v>
      </c>
      <c r="O68" s="5">
        <f t="shared" si="11"/>
        <v>0</v>
      </c>
      <c r="P68" s="2"/>
    </row>
    <row r="69" spans="1:16" ht="48">
      <c r="A69" s="3"/>
      <c r="B69" s="2"/>
      <c r="C69" s="2" t="s">
        <v>206</v>
      </c>
      <c r="D69" s="2" t="s">
        <v>193</v>
      </c>
      <c r="E69" s="2" t="s">
        <v>24</v>
      </c>
      <c r="F69" s="7" t="s">
        <v>210</v>
      </c>
      <c r="G69" s="2"/>
      <c r="H69" s="4" t="s">
        <v>211</v>
      </c>
      <c r="I69" s="4" t="s">
        <v>212</v>
      </c>
      <c r="J69" s="4">
        <v>928</v>
      </c>
      <c r="K69" s="4" t="s">
        <v>213</v>
      </c>
      <c r="L69" s="5">
        <f t="shared" si="8"/>
        <v>0</v>
      </c>
      <c r="M69" s="5">
        <f t="shared" si="9"/>
        <v>0</v>
      </c>
      <c r="N69" s="5">
        <f t="shared" si="10"/>
        <v>0</v>
      </c>
      <c r="O69" s="5">
        <f t="shared" si="11"/>
        <v>0</v>
      </c>
      <c r="P69" s="2"/>
    </row>
    <row r="70" spans="1:16" ht="48">
      <c r="A70" s="3"/>
      <c r="B70" s="2"/>
      <c r="C70" s="2" t="s">
        <v>206</v>
      </c>
      <c r="D70" s="2" t="s">
        <v>193</v>
      </c>
      <c r="E70" s="2" t="s">
        <v>29</v>
      </c>
      <c r="F70" s="7" t="s">
        <v>214</v>
      </c>
      <c r="G70" s="2"/>
      <c r="H70" s="4" t="s">
        <v>215</v>
      </c>
      <c r="I70" s="4" t="s">
        <v>216</v>
      </c>
      <c r="J70" s="4">
        <v>78</v>
      </c>
      <c r="K70" s="4">
        <v>2939</v>
      </c>
      <c r="L70" s="5">
        <f t="shared" si="8"/>
        <v>0</v>
      </c>
      <c r="M70" s="5">
        <f t="shared" si="9"/>
        <v>0</v>
      </c>
      <c r="N70" s="5">
        <f t="shared" si="10"/>
        <v>0</v>
      </c>
      <c r="O70" s="5">
        <f t="shared" si="11"/>
        <v>0</v>
      </c>
      <c r="P70" s="2"/>
    </row>
    <row r="71" spans="1:16" ht="48">
      <c r="A71" s="3"/>
      <c r="B71" s="2"/>
      <c r="C71" s="2" t="s">
        <v>217</v>
      </c>
      <c r="D71" s="2" t="s">
        <v>193</v>
      </c>
      <c r="E71" s="2" t="s">
        <v>18</v>
      </c>
      <c r="F71" s="7" t="s">
        <v>218</v>
      </c>
      <c r="G71" s="2"/>
      <c r="H71" s="4" t="s">
        <v>219</v>
      </c>
      <c r="I71" s="4" t="s">
        <v>220</v>
      </c>
      <c r="J71" s="4">
        <v>58</v>
      </c>
      <c r="K71" s="4" t="s">
        <v>221</v>
      </c>
      <c r="L71" s="5">
        <f t="shared" si="8"/>
        <v>0</v>
      </c>
      <c r="M71" s="5">
        <f t="shared" si="9"/>
        <v>0</v>
      </c>
      <c r="N71" s="5">
        <f t="shared" si="10"/>
        <v>0</v>
      </c>
      <c r="O71" s="5">
        <f t="shared" si="11"/>
        <v>0</v>
      </c>
      <c r="P71" s="2"/>
    </row>
    <row r="72" spans="1:16" ht="48">
      <c r="A72" s="3"/>
      <c r="B72" s="2"/>
      <c r="C72" s="2" t="s">
        <v>217</v>
      </c>
      <c r="D72" s="2" t="s">
        <v>193</v>
      </c>
      <c r="E72" s="2" t="s">
        <v>24</v>
      </c>
      <c r="F72" s="7" t="s">
        <v>222</v>
      </c>
      <c r="G72" s="2"/>
      <c r="H72" s="4" t="s">
        <v>161</v>
      </c>
      <c r="I72" s="4" t="s">
        <v>97</v>
      </c>
      <c r="J72" s="4">
        <v>14</v>
      </c>
      <c r="K72" s="4">
        <v>2209</v>
      </c>
      <c r="L72" s="5">
        <f t="shared" si="8"/>
        <v>0</v>
      </c>
      <c r="M72" s="5">
        <f t="shared" si="9"/>
        <v>0</v>
      </c>
      <c r="N72" s="5">
        <f t="shared" si="10"/>
        <v>0</v>
      </c>
      <c r="O72" s="5">
        <f t="shared" si="11"/>
        <v>0</v>
      </c>
      <c r="P72" s="2"/>
    </row>
    <row r="73" spans="1:16" ht="48">
      <c r="A73" s="3"/>
      <c r="B73" s="2"/>
      <c r="C73" s="2" t="s">
        <v>217</v>
      </c>
      <c r="D73" s="2" t="s">
        <v>193</v>
      </c>
      <c r="E73" s="2" t="s">
        <v>29</v>
      </c>
      <c r="F73" s="7" t="s">
        <v>223</v>
      </c>
      <c r="G73" s="2"/>
      <c r="H73" s="4" t="s">
        <v>224</v>
      </c>
      <c r="I73" s="4" t="s">
        <v>225</v>
      </c>
      <c r="J73" s="4">
        <v>7</v>
      </c>
      <c r="K73" s="4">
        <v>7059</v>
      </c>
      <c r="L73" s="5">
        <f t="shared" si="8"/>
        <v>0</v>
      </c>
      <c r="M73" s="5">
        <f t="shared" si="9"/>
        <v>0</v>
      </c>
      <c r="N73" s="5">
        <f t="shared" si="10"/>
        <v>0</v>
      </c>
      <c r="O73" s="5">
        <f t="shared" si="11"/>
        <v>0</v>
      </c>
      <c r="P73" s="2"/>
    </row>
  </sheetData>
  <conditionalFormatting sqref="L2:L73">
    <cfRule type="colorScale" priority="1">
      <colorScale>
        <cfvo type="min"/>
        <cfvo type="percentile" val="50"/>
        <cfvo type="max"/>
        <color rgb="FFFCE8ED"/>
        <color rgb="FFF7E9B7"/>
        <color rgb="FFDDF1E5"/>
      </colorScale>
    </cfRule>
  </conditionalFormatting>
  <dataValidations count="1">
    <dataValidation type="list" sqref="B2:B73" xr:uid="{00000000-0002-0000-0000-000000000000}">
      <formula1>"TikTok,Instagram,YouTube"</formula1>
    </dataValidation>
  </dataValidations>
  <hyperlinks>
    <hyperlink ref="F20" r:id="rId1" xr:uid="{EC0E36A3-C395-4510-83AD-048D294309C9}"/>
    <hyperlink ref="F12" r:id="rId2" xr:uid="{B92A97B6-03B7-40B5-8435-03A3031C3769}"/>
    <hyperlink ref="F21" r:id="rId3" xr:uid="{A2144F48-06FF-48D5-9465-590820835D3F}"/>
    <hyperlink ref="F13" r:id="rId4" xr:uid="{406CE279-7EED-4B11-B2B0-656A0D64B188}"/>
    <hyperlink ref="F22" r:id="rId5" xr:uid="{B60EE930-FAA3-4A6A-942D-037F32C5F38A}"/>
    <hyperlink ref="F8" r:id="rId6" xr:uid="{2BC6E9FB-D45B-443E-97E7-50BD47DA0A03}"/>
    <hyperlink ref="F23" r:id="rId7" xr:uid="{6F2F33FE-140F-43B8-937C-DD1D0C1C43D0}"/>
    <hyperlink ref="F9" r:id="rId8" xr:uid="{920F3CC7-70A1-4470-9945-765EA2C11A4B}"/>
    <hyperlink ref="F10" r:id="rId9" xr:uid="{3D40638D-9B9C-4EAB-9A7B-BDF8752F41B0}"/>
    <hyperlink ref="F24" r:id="rId10" xr:uid="{8B1BA813-A76B-4237-B66F-243FE30F7C33}"/>
    <hyperlink ref="F25" r:id="rId11" xr:uid="{BA6E1614-1189-4F13-9308-223BFB93FE29}"/>
    <hyperlink ref="F14" r:id="rId12" xr:uid="{0593FE96-5FFF-4E6F-BC0D-739010AB90A0}"/>
    <hyperlink ref="F15" r:id="rId13" xr:uid="{526C08FC-009E-44AE-B515-C9DA16DA552F}"/>
    <hyperlink ref="F26" r:id="rId14" xr:uid="{6983B1E7-2486-4D25-9589-823CD72BE170}"/>
    <hyperlink ref="F27" r:id="rId15" xr:uid="{545C7976-55BE-41CF-B0CC-CF4E8C4A6AC9}"/>
    <hyperlink ref="F16" r:id="rId16" xr:uid="{5B66B64C-E41C-4E59-BF0A-E49D0A456946}"/>
    <hyperlink ref="F28" r:id="rId17" xr:uid="{3279B59E-585D-483C-B6A7-47ECE9703B5A}"/>
    <hyperlink ref="F17" r:id="rId18" xr:uid="{9AB4E112-28CA-401C-BC19-B7DD09F2721F}"/>
    <hyperlink ref="F29" r:id="rId19" xr:uid="{B70B3151-DFD8-4062-B2AB-02567A86952F}"/>
    <hyperlink ref="F18" r:id="rId20" xr:uid="{AF50BA75-1797-4121-B11B-EBFBAB692F18}"/>
    <hyperlink ref="F30" r:id="rId21" xr:uid="{511B1114-98BC-4482-A7AA-8132D4B6C90E}"/>
    <hyperlink ref="F19" r:id="rId22" xr:uid="{6EB81C6A-161C-4B84-8AEB-D7EA9FE559F7}"/>
    <hyperlink ref="F2" r:id="rId23" xr:uid="{14055B15-18BE-472A-BC35-9F5C4DED400F}"/>
    <hyperlink ref="F31" r:id="rId24" xr:uid="{33B07967-B5EE-4BB7-8474-38B9B2A3E920}"/>
    <hyperlink ref="F3" r:id="rId25" xr:uid="{FCF67E85-8E63-4661-97CC-B7519E72646C}"/>
    <hyperlink ref="F32" r:id="rId26" xr:uid="{C4F7D2D0-4054-497A-84D8-3D165B059DE7}"/>
    <hyperlink ref="F4" r:id="rId27" xr:uid="{BF33FDBD-D68A-4D49-B127-6970D80EAC2E}"/>
    <hyperlink ref="F33" r:id="rId28" xr:uid="{AB8D5587-37F8-4A33-949C-3CEA0630B988}"/>
    <hyperlink ref="F5" r:id="rId29" xr:uid="{11A12949-3775-444D-8AFA-6E6D52470E43}"/>
    <hyperlink ref="F6" r:id="rId30" xr:uid="{B2727777-80F1-465E-8F8F-DE31C99E2036}"/>
    <hyperlink ref="F7" r:id="rId31" xr:uid="{B8330F47-2F4A-4C58-A524-3521E372C2EF}"/>
    <hyperlink ref="F34" r:id="rId32" xr:uid="{5D1BD4F8-4DAB-4B17-AB89-EAF6C0C7BD1F}"/>
    <hyperlink ref="F56" r:id="rId33" xr:uid="{64001C0D-7A68-4DC9-B9A7-09F6E973A01C}"/>
    <hyperlink ref="F57" r:id="rId34" xr:uid="{D80D6423-864F-4DFC-8AB8-8CFDCD8C8545}"/>
    <hyperlink ref="F35" r:id="rId35" xr:uid="{8384808B-37D3-44D8-8636-93C9417F0538}"/>
    <hyperlink ref="F58" r:id="rId36" xr:uid="{D6F4220E-0777-497C-A2E3-0F900472504F}"/>
    <hyperlink ref="F36" r:id="rId37" xr:uid="{BC82BAD9-CF97-4E16-820C-8DDEF8F32E77}"/>
    <hyperlink ref="F59" r:id="rId38" xr:uid="{291CE199-6F0B-4E13-9894-1C22B163243A}"/>
    <hyperlink ref="F60" r:id="rId39" xr:uid="{72AA10E1-AA8D-4A73-BF76-1C1D4007BE9F}"/>
    <hyperlink ref="F37" r:id="rId40" xr:uid="{FBC794EF-3078-45E0-9693-7F04B3C9007E}"/>
    <hyperlink ref="F61" r:id="rId41" xr:uid="{9F1AF4AD-06A2-4AC7-B2C7-AC5C44792DB0}"/>
    <hyperlink ref="F38" r:id="rId42" xr:uid="{80189B3A-A0CB-46C3-A117-652AAEC953E9}"/>
    <hyperlink ref="F62" r:id="rId43" xr:uid="{78624338-4D86-42B9-95D1-F29A6478BC65}"/>
    <hyperlink ref="F39" r:id="rId44" xr:uid="{B4D1E674-490C-424D-98F7-1138801F38A4}"/>
    <hyperlink ref="F63" r:id="rId45" xr:uid="{31E150CD-4C42-458D-A6A1-D1705BA5A439}"/>
    <hyperlink ref="F64" r:id="rId46" xr:uid="{651351AA-9B09-4D5A-9C93-7B7ED6EA6AA1}"/>
    <hyperlink ref="F65" r:id="rId47" xr:uid="{10C8978B-80CA-48C8-9213-92584E7FD624}"/>
    <hyperlink ref="F40" r:id="rId48" xr:uid="{39DB521B-AF0F-411D-868F-02095B3C6D6F}"/>
    <hyperlink ref="F66" r:id="rId49" xr:uid="{E44B18E2-BAA5-47CC-9444-3DA4876740BB}"/>
    <hyperlink ref="F41" r:id="rId50" xr:uid="{B8D6F100-651E-4DFB-BF7D-C95959494621}"/>
    <hyperlink ref="F67" r:id="rId51" xr:uid="{7333DBE5-929C-4780-B9E4-73397BD1647A}"/>
    <hyperlink ref="F42" r:id="rId52" xr:uid="{4A354240-D48D-4A91-A030-0E943BE829F1}"/>
    <hyperlink ref="F43" r:id="rId53" xr:uid="{E5B3A6C1-7377-4F3A-B634-BD5A80413F8E}"/>
    <hyperlink ref="F68" r:id="rId54" xr:uid="{D390E4B3-5C74-4ED3-A546-08C4EEFE2F58}"/>
    <hyperlink ref="F69" r:id="rId55" xr:uid="{3126D6D2-9BCC-4597-AC37-3B3DB1885B8F}"/>
    <hyperlink ref="F70" r:id="rId56" xr:uid="{4281FBDE-6260-492A-9AE6-12CABD2D977A}"/>
    <hyperlink ref="F44" r:id="rId57" xr:uid="{B97F42EA-565E-4F65-B54B-9A88D1D3464F}"/>
    <hyperlink ref="F45" r:id="rId58" xr:uid="{B0FBBC0C-DD10-452E-836D-7B101C167733}"/>
    <hyperlink ref="F71" r:id="rId59" xr:uid="{6B9D717A-03A7-4666-B667-051CE5A488AB}"/>
    <hyperlink ref="F46" r:id="rId60" xr:uid="{8589CD3D-FFCA-4EAA-B3FA-07B5FFE39D87}"/>
    <hyperlink ref="F72" r:id="rId61" xr:uid="{EAEE9EEE-2EA9-40E2-BC16-AE98135ACE84}"/>
    <hyperlink ref="F73" r:id="rId62" xr:uid="{F177D099-3D5E-4B40-855E-796B9336784E}"/>
    <hyperlink ref="F55" r:id="rId63" xr:uid="{9CBC2674-04E0-478D-8A0E-7A3397956D55}"/>
    <hyperlink ref="F54" r:id="rId64" xr:uid="{0CC36A96-0555-4F6E-9DA5-545CEC7A99B3}"/>
    <hyperlink ref="F53" r:id="rId65" xr:uid="{D405E30E-C6BD-41C6-8E02-984300CCFFA6}"/>
    <hyperlink ref="F50" r:id="rId66" xr:uid="{0B110812-0BFC-4153-82B6-2759022D5EC9}"/>
    <hyperlink ref="F51" r:id="rId67" xr:uid="{136CA883-1E42-4374-B156-84D6DE372188}"/>
    <hyperlink ref="F52" r:id="rId68" xr:uid="{5F08B236-CC83-4BC8-9D0E-AA4C460117AB}"/>
    <hyperlink ref="F47" r:id="rId69" xr:uid="{AC88E42E-0F34-4B30-88D2-502680505E1B}"/>
    <hyperlink ref="F48" r:id="rId70" xr:uid="{C74B00A5-3E24-416B-AE22-41F6A2E546B3}"/>
    <hyperlink ref="F49" r:id="rId71" xr:uid="{369662F2-8E0D-4D01-B4D7-2851F251EB6C}"/>
  </hyperlinks>
  <pageMargins left="0.7" right="0.7" top="0.75" bottom="0.75" header="0.3" footer="0.3"/>
  <tableParts count="1">
    <tablePart r:id="rId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/>
  <cols>
    <col min="1" max="1" width="22" customWidth="1"/>
    <col min="2" max="2" width="70" customWidth="1"/>
  </cols>
  <sheetData>
    <row r="1" spans="1:2" ht="32">
      <c r="A1" s="6" t="s">
        <v>226</v>
      </c>
      <c r="B1" s="6"/>
    </row>
    <row r="2" spans="1:2" ht="16">
      <c r="A2" s="2" t="s">
        <v>227</v>
      </c>
      <c r="B2" s="2" t="s">
        <v>228</v>
      </c>
    </row>
    <row r="3" spans="1:2" ht="32">
      <c r="A3" s="2" t="s">
        <v>229</v>
      </c>
      <c r="B3" s="2" t="s">
        <v>230</v>
      </c>
    </row>
    <row r="4" spans="1:2" ht="16">
      <c r="A4" s="2" t="s">
        <v>0</v>
      </c>
      <c r="B4" s="2" t="s">
        <v>231</v>
      </c>
    </row>
    <row r="5" spans="1:2" ht="16">
      <c r="A5" s="2" t="s">
        <v>1</v>
      </c>
      <c r="B5" s="2" t="s">
        <v>232</v>
      </c>
    </row>
    <row r="6" spans="1:2" ht="16">
      <c r="A6" s="2" t="s">
        <v>2</v>
      </c>
      <c r="B6" s="2" t="s">
        <v>233</v>
      </c>
    </row>
    <row r="7" spans="1:2" ht="16">
      <c r="A7" s="2" t="s">
        <v>3</v>
      </c>
      <c r="B7" s="2" t="s">
        <v>234</v>
      </c>
    </row>
    <row r="8" spans="1:2" ht="16">
      <c r="A8" s="2" t="s">
        <v>4</v>
      </c>
      <c r="B8" s="2" t="s">
        <v>235</v>
      </c>
    </row>
    <row r="9" spans="1:2" ht="16">
      <c r="A9" s="2" t="s">
        <v>5</v>
      </c>
      <c r="B9" s="2" t="s">
        <v>236</v>
      </c>
    </row>
    <row r="10" spans="1:2" ht="16">
      <c r="A10" s="2" t="s">
        <v>6</v>
      </c>
      <c r="B10" s="2" t="s">
        <v>237</v>
      </c>
    </row>
    <row r="11" spans="1:2" ht="16">
      <c r="A11" s="2" t="s">
        <v>7</v>
      </c>
      <c r="B11" s="2" t="s">
        <v>238</v>
      </c>
    </row>
    <row r="12" spans="1:2" ht="16">
      <c r="A12" s="2" t="s">
        <v>8</v>
      </c>
      <c r="B12" s="2" t="s">
        <v>239</v>
      </c>
    </row>
    <row r="13" spans="1:2" ht="16">
      <c r="A13" s="2" t="s">
        <v>9</v>
      </c>
      <c r="B13" s="2" t="s">
        <v>240</v>
      </c>
    </row>
    <row r="14" spans="1:2" ht="16">
      <c r="A14" s="2" t="s">
        <v>10</v>
      </c>
      <c r="B14" s="2" t="s">
        <v>241</v>
      </c>
    </row>
    <row r="15" spans="1:2" ht="16">
      <c r="A15" s="2" t="s">
        <v>11</v>
      </c>
      <c r="B15" s="2" t="s">
        <v>242</v>
      </c>
    </row>
    <row r="16" spans="1:2" ht="16">
      <c r="A16" s="2" t="s">
        <v>12</v>
      </c>
      <c r="B16" s="2" t="s">
        <v>243</v>
      </c>
    </row>
    <row r="17" spans="1:2" ht="16">
      <c r="A17" s="2" t="s">
        <v>13</v>
      </c>
      <c r="B17" s="2" t="s">
        <v>244</v>
      </c>
    </row>
    <row r="18" spans="1:2" ht="16">
      <c r="A18" s="2" t="s">
        <v>14</v>
      </c>
      <c r="B18" s="2" t="s">
        <v>245</v>
      </c>
    </row>
    <row r="19" spans="1:2" ht="16">
      <c r="A19" s="2" t="s">
        <v>15</v>
      </c>
      <c r="B19" s="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 Metrics</vt:lpstr>
      <vt:lpstr>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JOYCELYN LEE CHIEN LING</cp:lastModifiedBy>
  <cp:revision/>
  <dcterms:created xsi:type="dcterms:W3CDTF">2026-10-10T10:23:32Z</dcterms:created>
  <dcterms:modified xsi:type="dcterms:W3CDTF">2026-10-10T11:53:58Z</dcterms:modified>
  <cp:category/>
  <cp:contentStatus/>
</cp:coreProperties>
</file>